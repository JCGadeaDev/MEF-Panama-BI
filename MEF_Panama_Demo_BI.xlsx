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dea\Downloads\Demo Ministerio de Economia Panama\"/>
    </mc:Choice>
  </mc:AlternateContent>
  <xr:revisionPtr revIDLastSave="0" documentId="13_ncr:1_{E6AC6979-A671-4ADA-9156-4592E019A9FA}" xr6:coauthVersionLast="47" xr6:coauthVersionMax="47" xr10:uidLastSave="{00000000-0000-0000-0000-000000000000}"/>
  <bookViews>
    <workbookView xWindow="20370" yWindow="-120" windowWidth="29040" windowHeight="16440" tabRatio="500" activeTab="3" xr2:uid="{00000000-000D-0000-FFFF-FFFF00000000}"/>
  </bookViews>
  <sheets>
    <sheet name="Base de Datos" sheetId="1" r:id="rId1"/>
    <sheet name="Tabla Dinámica" sheetId="2" r:id="rId2"/>
    <sheet name="Dashboard KPIs" sheetId="3" r:id="rId3"/>
    <sheet name="Export_PowerBI" sheetId="4" r:id="rId4"/>
    <sheet name="Guía de Uso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4" l="1"/>
  <c r="I32" i="4" s="1"/>
  <c r="F32" i="4"/>
  <c r="J32" i="4" s="1"/>
  <c r="D32" i="4"/>
  <c r="C32" i="4"/>
  <c r="B32" i="4"/>
  <c r="G31" i="4"/>
  <c r="I31" i="4" s="1"/>
  <c r="F31" i="4"/>
  <c r="J31" i="4" s="1"/>
  <c r="D31" i="4"/>
  <c r="C31" i="4"/>
  <c r="B31" i="4"/>
  <c r="G30" i="4"/>
  <c r="H30" i="4" s="1"/>
  <c r="F30" i="4"/>
  <c r="J30" i="4" s="1"/>
  <c r="D30" i="4"/>
  <c r="C30" i="4"/>
  <c r="B30" i="4"/>
  <c r="J29" i="4"/>
  <c r="G29" i="4"/>
  <c r="I29" i="4" s="1"/>
  <c r="F29" i="4"/>
  <c r="D29" i="4"/>
  <c r="C29" i="4"/>
  <c r="B29" i="4"/>
  <c r="H28" i="4"/>
  <c r="G28" i="4"/>
  <c r="I28" i="4" s="1"/>
  <c r="F28" i="4"/>
  <c r="J28" i="4" s="1"/>
  <c r="D28" i="4"/>
  <c r="C28" i="4"/>
  <c r="B28" i="4"/>
  <c r="G27" i="4"/>
  <c r="H27" i="4" s="1"/>
  <c r="F27" i="4"/>
  <c r="J27" i="4" s="1"/>
  <c r="D27" i="4"/>
  <c r="C27" i="4"/>
  <c r="B27" i="4"/>
  <c r="J26" i="4"/>
  <c r="G26" i="4"/>
  <c r="H26" i="4" s="1"/>
  <c r="F26" i="4"/>
  <c r="D26" i="4"/>
  <c r="C26" i="4"/>
  <c r="B26" i="4"/>
  <c r="G25" i="4"/>
  <c r="I25" i="4" s="1"/>
  <c r="F25" i="4"/>
  <c r="J25" i="4" s="1"/>
  <c r="D25" i="4"/>
  <c r="C25" i="4"/>
  <c r="B25" i="4"/>
  <c r="J24" i="4"/>
  <c r="G24" i="4"/>
  <c r="H24" i="4" s="1"/>
  <c r="F24" i="4"/>
  <c r="D24" i="4"/>
  <c r="C24" i="4"/>
  <c r="B24" i="4"/>
  <c r="J23" i="4"/>
  <c r="I23" i="4"/>
  <c r="H23" i="4"/>
  <c r="G23" i="4"/>
  <c r="F23" i="4"/>
  <c r="D23" i="4"/>
  <c r="C23" i="4"/>
  <c r="B23" i="4"/>
  <c r="I22" i="4"/>
  <c r="G22" i="4"/>
  <c r="F22" i="4"/>
  <c r="J22" i="4" s="1"/>
  <c r="D22" i="4"/>
  <c r="C22" i="4"/>
  <c r="B22" i="4"/>
  <c r="J21" i="4"/>
  <c r="H21" i="4"/>
  <c r="G21" i="4"/>
  <c r="F21" i="4"/>
  <c r="D21" i="4"/>
  <c r="C21" i="4"/>
  <c r="B21" i="4"/>
  <c r="G20" i="4"/>
  <c r="J20" i="4" s="1"/>
  <c r="F20" i="4"/>
  <c r="D20" i="4"/>
  <c r="C20" i="4"/>
  <c r="B20" i="4"/>
  <c r="H19" i="4"/>
  <c r="G19" i="4"/>
  <c r="I19" i="4" s="1"/>
  <c r="F19" i="4"/>
  <c r="J19" i="4" s="1"/>
  <c r="D19" i="4"/>
  <c r="C19" i="4"/>
  <c r="B19" i="4"/>
  <c r="G18" i="4"/>
  <c r="J18" i="4" s="1"/>
  <c r="F18" i="4"/>
  <c r="D18" i="4"/>
  <c r="C18" i="4"/>
  <c r="B18" i="4"/>
  <c r="G17" i="4"/>
  <c r="I17" i="4" s="1"/>
  <c r="F17" i="4"/>
  <c r="H17" i="4" s="1"/>
  <c r="D17" i="4"/>
  <c r="C17" i="4"/>
  <c r="B17" i="4"/>
  <c r="G16" i="4"/>
  <c r="I16" i="4" s="1"/>
  <c r="F16" i="4"/>
  <c r="J16" i="4" s="1"/>
  <c r="D16" i="4"/>
  <c r="C16" i="4"/>
  <c r="B16" i="4"/>
  <c r="G15" i="4"/>
  <c r="H15" i="4" s="1"/>
  <c r="F15" i="4"/>
  <c r="J15" i="4" s="1"/>
  <c r="D15" i="4"/>
  <c r="C15" i="4"/>
  <c r="B15" i="4"/>
  <c r="G14" i="4"/>
  <c r="J14" i="4" s="1"/>
  <c r="F14" i="4"/>
  <c r="D14" i="4"/>
  <c r="C14" i="4"/>
  <c r="B14" i="4"/>
  <c r="J13" i="4"/>
  <c r="G13" i="4"/>
  <c r="I13" i="4" s="1"/>
  <c r="F13" i="4"/>
  <c r="D13" i="4"/>
  <c r="C13" i="4"/>
  <c r="B13" i="4"/>
  <c r="J12" i="4"/>
  <c r="H12" i="4"/>
  <c r="G12" i="4"/>
  <c r="F12" i="4"/>
  <c r="D12" i="4"/>
  <c r="C12" i="4"/>
  <c r="B12" i="4"/>
  <c r="I11" i="4"/>
  <c r="G11" i="4"/>
  <c r="H11" i="4" s="1"/>
  <c r="F11" i="4"/>
  <c r="J11" i="4" s="1"/>
  <c r="D11" i="4"/>
  <c r="C11" i="4"/>
  <c r="B11" i="4"/>
  <c r="J10" i="4"/>
  <c r="I10" i="4"/>
  <c r="G10" i="4"/>
  <c r="H10" i="4" s="1"/>
  <c r="F10" i="4"/>
  <c r="D10" i="4"/>
  <c r="C10" i="4"/>
  <c r="B10" i="4"/>
  <c r="G9" i="4"/>
  <c r="J9" i="4" s="1"/>
  <c r="F9" i="4"/>
  <c r="D9" i="4"/>
  <c r="C9" i="4"/>
  <c r="B9" i="4"/>
  <c r="H8" i="4"/>
  <c r="G8" i="4"/>
  <c r="I8" i="4" s="1"/>
  <c r="F8" i="4"/>
  <c r="J8" i="4" s="1"/>
  <c r="D8" i="4"/>
  <c r="C8" i="4"/>
  <c r="B8" i="4"/>
  <c r="H7" i="4"/>
  <c r="G7" i="4"/>
  <c r="F7" i="4"/>
  <c r="J7" i="4" s="1"/>
  <c r="D7" i="4"/>
  <c r="C7" i="4"/>
  <c r="B7" i="4"/>
  <c r="G6" i="4"/>
  <c r="I7" i="4" s="1"/>
  <c r="F6" i="4"/>
  <c r="H6" i="4" s="1"/>
  <c r="D6" i="4"/>
  <c r="C6" i="4"/>
  <c r="B6" i="4"/>
  <c r="G5" i="4"/>
  <c r="I5" i="4" s="1"/>
  <c r="F5" i="4"/>
  <c r="J5" i="4" s="1"/>
  <c r="D5" i="4"/>
  <c r="C5" i="4"/>
  <c r="B5" i="4"/>
  <c r="G4" i="4"/>
  <c r="I4" i="4" s="1"/>
  <c r="F4" i="4"/>
  <c r="D4" i="4"/>
  <c r="C4" i="4"/>
  <c r="B4" i="4"/>
  <c r="G3" i="4"/>
  <c r="H3" i="4" s="1"/>
  <c r="F3" i="4"/>
  <c r="J3" i="4" s="1"/>
  <c r="D3" i="4"/>
  <c r="C3" i="4"/>
  <c r="B3" i="4"/>
  <c r="C13" i="3"/>
  <c r="E13" i="3" s="1"/>
  <c r="B13" i="3"/>
  <c r="C12" i="3"/>
  <c r="E12" i="3" s="1"/>
  <c r="B12" i="3"/>
  <c r="C11" i="3"/>
  <c r="D11" i="3" s="1"/>
  <c r="B11" i="3"/>
  <c r="J13" i="2"/>
  <c r="I13" i="2"/>
  <c r="H13" i="2"/>
  <c r="G13" i="2"/>
  <c r="F13" i="2"/>
  <c r="D13" i="2"/>
  <c r="E13" i="2" s="1"/>
  <c r="C13" i="2"/>
  <c r="B13" i="2"/>
  <c r="A13" i="2"/>
  <c r="J12" i="2"/>
  <c r="I12" i="2"/>
  <c r="G12" i="2"/>
  <c r="F12" i="2"/>
  <c r="H12" i="2" s="1"/>
  <c r="D12" i="2"/>
  <c r="E12" i="2" s="1"/>
  <c r="C12" i="2"/>
  <c r="B12" i="2"/>
  <c r="A12" i="2"/>
  <c r="J11" i="2"/>
  <c r="I11" i="2"/>
  <c r="G11" i="2"/>
  <c r="H11" i="2" s="1"/>
  <c r="F11" i="2"/>
  <c r="D11" i="2"/>
  <c r="E11" i="2" s="1"/>
  <c r="C11" i="2"/>
  <c r="B11" i="2"/>
  <c r="A11" i="2"/>
  <c r="J10" i="2"/>
  <c r="I10" i="2"/>
  <c r="G10" i="2"/>
  <c r="H10" i="2" s="1"/>
  <c r="F10" i="2"/>
  <c r="D10" i="2"/>
  <c r="E10" i="2" s="1"/>
  <c r="C10" i="2"/>
  <c r="B10" i="2"/>
  <c r="A10" i="2"/>
  <c r="J9" i="2"/>
  <c r="I9" i="2"/>
  <c r="G9" i="2"/>
  <c r="H9" i="2" s="1"/>
  <c r="F9" i="2"/>
  <c r="D9" i="2"/>
  <c r="C9" i="2"/>
  <c r="E9" i="2" s="1"/>
  <c r="B9" i="2"/>
  <c r="A9" i="2"/>
  <c r="J8" i="2"/>
  <c r="I8" i="2"/>
  <c r="G8" i="2"/>
  <c r="H8" i="2" s="1"/>
  <c r="F8" i="2"/>
  <c r="D8" i="2"/>
  <c r="E8" i="2" s="1"/>
  <c r="C8" i="2"/>
  <c r="B8" i="2"/>
  <c r="A8" i="2"/>
  <c r="J7" i="2"/>
  <c r="I7" i="2"/>
  <c r="H7" i="2"/>
  <c r="G7" i="2"/>
  <c r="F7" i="2"/>
  <c r="D7" i="2"/>
  <c r="E7" i="2" s="1"/>
  <c r="C7" i="2"/>
  <c r="B7" i="2"/>
  <c r="A7" i="2"/>
  <c r="J6" i="2"/>
  <c r="I6" i="2"/>
  <c r="H6" i="2"/>
  <c r="G6" i="2"/>
  <c r="F6" i="2"/>
  <c r="D6" i="2"/>
  <c r="E6" i="2" s="1"/>
  <c r="C6" i="2"/>
  <c r="B6" i="2"/>
  <c r="A6" i="2"/>
  <c r="J5" i="2"/>
  <c r="I5" i="2"/>
  <c r="G5" i="2"/>
  <c r="H5" i="2" s="1"/>
  <c r="F5" i="2"/>
  <c r="F14" i="2" s="1"/>
  <c r="D5" i="2"/>
  <c r="E5" i="2" s="1"/>
  <c r="C5" i="2"/>
  <c r="B5" i="2"/>
  <c r="A5" i="2"/>
  <c r="J4" i="2"/>
  <c r="J14" i="2" s="1"/>
  <c r="I4" i="2"/>
  <c r="I14" i="2" s="1"/>
  <c r="G4" i="2"/>
  <c r="G14" i="2" s="1"/>
  <c r="F4" i="2"/>
  <c r="D4" i="2"/>
  <c r="E4" i="2" s="1"/>
  <c r="C4" i="2"/>
  <c r="B4" i="2"/>
  <c r="A4" i="2"/>
  <c r="K13" i="1"/>
  <c r="A5" i="3" s="1"/>
  <c r="J13" i="1"/>
  <c r="H13" i="1"/>
  <c r="G13" i="1"/>
  <c r="I13" i="1" s="1"/>
  <c r="E13" i="1"/>
  <c r="F13" i="1" s="1"/>
  <c r="D13" i="1"/>
  <c r="N12" i="1"/>
  <c r="M12" i="1"/>
  <c r="L12" i="1"/>
  <c r="I12" i="1"/>
  <c r="F12" i="1"/>
  <c r="N11" i="1"/>
  <c r="M11" i="1"/>
  <c r="L11" i="1"/>
  <c r="I11" i="1"/>
  <c r="F11" i="1"/>
  <c r="N10" i="1"/>
  <c r="M10" i="1"/>
  <c r="L10" i="1"/>
  <c r="I10" i="1"/>
  <c r="F10" i="1"/>
  <c r="N9" i="1"/>
  <c r="M9" i="1"/>
  <c r="L9" i="1"/>
  <c r="I9" i="1"/>
  <c r="F9" i="1"/>
  <c r="N8" i="1"/>
  <c r="M8" i="1"/>
  <c r="L8" i="1"/>
  <c r="I8" i="1"/>
  <c r="F8" i="1"/>
  <c r="N7" i="1"/>
  <c r="M7" i="1"/>
  <c r="L7" i="1"/>
  <c r="I7" i="1"/>
  <c r="F7" i="1"/>
  <c r="N6" i="1"/>
  <c r="M6" i="1"/>
  <c r="L6" i="1"/>
  <c r="I6" i="1"/>
  <c r="F6" i="1"/>
  <c r="N5" i="1"/>
  <c r="M5" i="1"/>
  <c r="L5" i="1"/>
  <c r="I5" i="1"/>
  <c r="F5" i="1"/>
  <c r="N4" i="1"/>
  <c r="M4" i="1"/>
  <c r="L4" i="1"/>
  <c r="I4" i="1"/>
  <c r="F4" i="1"/>
  <c r="N3" i="1"/>
  <c r="N13" i="1" s="1"/>
  <c r="M3" i="1"/>
  <c r="M13" i="1" s="1"/>
  <c r="L3" i="1"/>
  <c r="I3" i="1"/>
  <c r="F3" i="1"/>
  <c r="H14" i="2" l="1"/>
  <c r="I26" i="4"/>
  <c r="J4" i="4"/>
  <c r="D14" i="2"/>
  <c r="E14" i="2" s="1"/>
  <c r="H9" i="4"/>
  <c r="H20" i="4"/>
  <c r="H31" i="4"/>
  <c r="I20" i="4"/>
  <c r="J6" i="4"/>
  <c r="H14" i="4"/>
  <c r="H25" i="4"/>
  <c r="I14" i="4"/>
  <c r="J17" i="4"/>
  <c r="H22" i="4"/>
  <c r="C14" i="2"/>
  <c r="H5" i="4"/>
  <c r="H16" i="4"/>
  <c r="H13" i="4"/>
  <c r="H4" i="2"/>
  <c r="D12" i="3"/>
  <c r="L13" i="1"/>
  <c r="D13" i="3"/>
  <c r="H32" i="4"/>
  <c r="H4" i="4"/>
  <c r="H18" i="4"/>
  <c r="H29" i="4"/>
  <c r="I5" i="3" l="1"/>
  <c r="E5" i="3"/>
</calcChain>
</file>

<file path=xl/sharedStrings.xml><?xml version="1.0" encoding="utf-8"?>
<sst xmlns="http://schemas.openxmlformats.org/spreadsheetml/2006/main" count="126" uniqueCount="107">
  <si>
    <t>MINISTERIO DE ECONOMÍA Y FINANZAS — PANAMÁ  |  Ejecución Presupuestaria 2022–2024  (Millones USD)</t>
  </si>
  <si>
    <t>Código</t>
  </si>
  <si>
    <t>Ministerio / Entidad</t>
  </si>
  <si>
    <t>Sector</t>
  </si>
  <si>
    <t>Aprobado
2022</t>
  </si>
  <si>
    <t>Ejecutado
2022</t>
  </si>
  <si>
    <t>% Ejec.
2022</t>
  </si>
  <si>
    <t>Aprobado
2023</t>
  </si>
  <si>
    <t>Ejecutado
2023</t>
  </si>
  <si>
    <t>% Ejec.
2023</t>
  </si>
  <si>
    <t>Aprobado
2024</t>
  </si>
  <si>
    <t>Ejecutado
2024</t>
  </si>
  <si>
    <t>% Ejec.
2024</t>
  </si>
  <si>
    <t>Var. Ejec.
22→24</t>
  </si>
  <si>
    <t>Saldo No
Ejec. 2024</t>
  </si>
  <si>
    <t>Ministerio de Educación</t>
  </si>
  <si>
    <t>Social</t>
  </si>
  <si>
    <t>MEDUCA</t>
  </si>
  <si>
    <t>Caja de Seguro Social</t>
  </si>
  <si>
    <t>CSS</t>
  </si>
  <si>
    <t>Ministerio de Salud</t>
  </si>
  <si>
    <t>MINSA</t>
  </si>
  <si>
    <t>Ministerio de Vivienda</t>
  </si>
  <si>
    <t>MIVIOT</t>
  </si>
  <si>
    <t>MOP</t>
  </si>
  <si>
    <t>Infraestructura</t>
  </si>
  <si>
    <t>Ministerio de Seguridad</t>
  </si>
  <si>
    <t>Seguridad</t>
  </si>
  <si>
    <t>MINSEG</t>
  </si>
  <si>
    <t>Ministerio de Economía</t>
  </si>
  <si>
    <t>Económico</t>
  </si>
  <si>
    <t>MEF</t>
  </si>
  <si>
    <t>Ministerio de Comercio</t>
  </si>
  <si>
    <t>MICI</t>
  </si>
  <si>
    <t>Ministerio de Agricultura</t>
  </si>
  <si>
    <t>MIDA</t>
  </si>
  <si>
    <t>Ministerio de Ambiente</t>
  </si>
  <si>
    <t>MiAMBIENTE</t>
  </si>
  <si>
    <t>TOTAL</t>
  </si>
  <si>
    <t>TOTAL GENERAL</t>
  </si>
  <si>
    <t>TABLA DINÁMICA — Ejecución por Sector y Año  |  Valores en Millones USD</t>
  </si>
  <si>
    <t>Actualizar datos en hoja 'Base de Datos' — Esta tabla se recalcula automáticamente con fórmulas</t>
  </si>
  <si>
    <t>Entidad</t>
  </si>
  <si>
    <t>Aprobado 2022</t>
  </si>
  <si>
    <t>Ejecutado 2022</t>
  </si>
  <si>
    <t>% 2022</t>
  </si>
  <si>
    <t>Aprobado 2023</t>
  </si>
  <si>
    <t>Ejecutado 2023</t>
  </si>
  <si>
    <t>% 2023</t>
  </si>
  <si>
    <t>Aprobado 2024</t>
  </si>
  <si>
    <t>Ejecutado 2024</t>
  </si>
  <si>
    <t>Todas las entidades</t>
  </si>
  <si>
    <t>DASHBOARD EJECUTIVO — Indicadores de Ejecución Presupuestaria</t>
  </si>
  <si>
    <t>Ministerio de Economía y Finanzas de Panamá  •  Período 2022–2024  •  Millones USD</t>
  </si>
  <si>
    <t>PRESUPUESTO TOTAL 2024</t>
  </si>
  <si>
    <t>MONTO EJECUTADO 2024</t>
  </si>
  <si>
    <t>% EJECUCIÓN 2024</t>
  </si>
  <si>
    <t>Millones USD</t>
  </si>
  <si>
    <t>Del presupuesto</t>
  </si>
  <si>
    <t>RESUMEN DE EJECUCIÓN POR AÑO</t>
  </si>
  <si>
    <t>Año</t>
  </si>
  <si>
    <t>Presupuesto Aprobado</t>
  </si>
  <si>
    <t>Monto Ejecutado</t>
  </si>
  <si>
    <t>% Ejecución</t>
  </si>
  <si>
    <t>Variación vs Año Anterior</t>
  </si>
  <si>
    <t>2022</t>
  </si>
  <si>
    <t>"-"</t>
  </si>
  <si>
    <t>2023</t>
  </si>
  <si>
    <t>2024</t>
  </si>
  <si>
    <t>Fuente: Sistema Integrado de Administración Financiera (SIAF) — MEF Panamá  |  Preparado para migración a Power BI</t>
  </si>
  <si>
    <t>TABLA PLANA — Lista para importar en Power BI / SQL Server</t>
  </si>
  <si>
    <t>id_registro</t>
  </si>
  <si>
    <t>codigo_entidad</t>
  </si>
  <si>
    <t>nombre_entidad</t>
  </si>
  <si>
    <t>sector</t>
  </si>
  <si>
    <t>anio_fiscal</t>
  </si>
  <si>
    <t>presupuesto_aprobado</t>
  </si>
  <si>
    <t>monto_ejecutado</t>
  </si>
  <si>
    <t>pct_ejecucion</t>
  </si>
  <si>
    <t>variacion_anual</t>
  </si>
  <si>
    <t>saldo_no_ejecutado</t>
  </si>
  <si>
    <t>N/A</t>
  </si>
  <si>
    <t>GUÍA DE USO — Demo BI · Ministerio de Economía y Finanzas de Panamá</t>
  </si>
  <si>
    <t>📊</t>
  </si>
  <si>
    <t>HOJA 1: Base de Datos</t>
  </si>
  <si>
    <t>→ Ingrese o actualice los valores de Presupuesto Aprobado y Ejecutado aquí.</t>
  </si>
  <si>
    <t>→ Todas las demás hojas se actualizan automáticamente con fórmulas.</t>
  </si>
  <si>
    <t>→ El mapa de color en % Ejecución va de rojo (&lt; 65%) a verde (≥ 95%).</t>
  </si>
  <si>
    <t>📋</t>
  </si>
  <si>
    <t>HOJA 2: Tabla Dinámica</t>
  </si>
  <si>
    <t>→ Vista resumida vinculada a Base de Datos. Perfecta para reportes gerenciales.</t>
  </si>
  <si>
    <t>→ Puede agregar segmentadores (slicers) de Excel sobre esta tabla.</t>
  </si>
  <si>
    <t>📈</t>
  </si>
  <si>
    <t>HOJA 3: Dashboard KPIs</t>
  </si>
  <si>
    <t>→ Indicadores ejecutivos con totales por año y variación interanual.</t>
  </si>
  <si>
    <t>→ Diseñado para presentaciones a alta dirección.</t>
  </si>
  <si>
    <t>🔄</t>
  </si>
  <si>
    <t>HOJA 4: Export_PowerBI</t>
  </si>
  <si>
    <t>→ Tabla plana (tidy/long format) lista para importar directamente en Power BI.</t>
  </si>
  <si>
    <t>→ También puede exportarse como CSV y cargar en SQL Server con BULK INSERT.</t>
  </si>
  <si>
    <t>→ Cada fila representa UNA entidad + UN año fiscal (formato normalizado).</t>
  </si>
  <si>
    <t>🗄️</t>
  </si>
  <si>
    <t>PRÓXIMO PASO — Migración a SQL Server + Power BI</t>
  </si>
  <si>
    <t>→ Fase 1: Cargar Export_PowerBI en tabla SQL Server (FACT_PRESUPUESTO).</t>
  </si>
  <si>
    <t>→ Fase 2: Conectar Power BI Desktop con DirectQuery o Import Mode.</t>
  </si>
  <si>
    <t>→ Fase 3: Crear medidas DAX para % ejecución, variación YoY, ranking.</t>
  </si>
  <si>
    <t>→ Fase 4: Publicar en Power BI Service con actualización diaria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</si>
</sst>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7A5500"/>
      <name val="Arial"/>
      <charset val="1"/>
    </font>
    <font>
      <b/>
      <sz val="12"/>
      <color rgb="FFFFFFFF"/>
      <name val="Arial"/>
      <charset val="1"/>
    </font>
    <font>
      <i/>
      <sz val="9"/>
      <color rgb="FF5A6472"/>
      <name val="Arial"/>
      <charset val="1"/>
    </font>
    <font>
      <b/>
      <sz val="8"/>
      <color rgb="FF003166"/>
      <name val="Arial"/>
      <charset val="1"/>
    </font>
    <font>
      <b/>
      <sz val="8"/>
      <color rgb="FF7A5500"/>
      <name val="Arial"/>
      <charset val="1"/>
    </font>
    <font>
      <b/>
      <sz val="8"/>
      <color rgb="FF1A7A4A"/>
      <name val="Arial"/>
      <charset val="1"/>
    </font>
    <font>
      <b/>
      <sz val="18"/>
      <color rgb="FF003166"/>
      <name val="Arial"/>
      <charset val="1"/>
    </font>
    <font>
      <b/>
      <sz val="18"/>
      <color rgb="FF7A5500"/>
      <name val="Arial"/>
      <charset val="1"/>
    </font>
    <font>
      <b/>
      <sz val="18"/>
      <color rgb="FF1A7A4A"/>
      <name val="Arial"/>
      <charset val="1"/>
    </font>
    <font>
      <i/>
      <sz val="8"/>
      <color rgb="FF003166"/>
      <name val="Arial"/>
      <charset val="1"/>
    </font>
    <font>
      <i/>
      <sz val="8"/>
      <color rgb="FF7A5500"/>
      <name val="Arial"/>
      <charset val="1"/>
    </font>
    <font>
      <i/>
      <sz val="8"/>
      <color rgb="FF1A7A4A"/>
      <name val="Arial"/>
      <charset val="1"/>
    </font>
    <font>
      <b/>
      <sz val="9"/>
      <color rgb="FF000000"/>
      <name val="Arial"/>
      <charset val="1"/>
    </font>
    <font>
      <b/>
      <sz val="9"/>
      <color rgb="FF003166"/>
      <name val="Arial"/>
      <charset val="1"/>
    </font>
    <font>
      <i/>
      <sz val="8"/>
      <color rgb="FF5A6472"/>
      <name val="Arial"/>
      <charset val="1"/>
    </font>
    <font>
      <b/>
      <sz val="10"/>
      <color rgb="FFFFFFFF"/>
      <name val="Arial"/>
      <charset val="1"/>
    </font>
    <font>
      <sz val="11"/>
      <name val="Cambria"/>
      <charset val="1"/>
    </font>
    <font>
      <b/>
      <sz val="10"/>
      <color rgb="FF00316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166"/>
        <bgColor rgb="FF0050A0"/>
      </patternFill>
    </fill>
    <fill>
      <patternFill patternType="solid">
        <fgColor rgb="FF0050A0"/>
        <bgColor rgb="FF003166"/>
      </patternFill>
    </fill>
    <fill>
      <patternFill patternType="solid">
        <fgColor rgb="FFFFFFFF"/>
        <bgColor rgb="FFF2F5FA"/>
      </patternFill>
    </fill>
    <fill>
      <patternFill patternType="solid">
        <fgColor rgb="FFF2F5FA"/>
        <bgColor rgb="FFE8F0FF"/>
      </patternFill>
    </fill>
    <fill>
      <patternFill patternType="solid">
        <fgColor rgb="FFFFF3CC"/>
        <bgColor rgb="FFF2F5FA"/>
      </patternFill>
    </fill>
    <fill>
      <patternFill patternType="solid">
        <fgColor rgb="FFC8992A"/>
        <bgColor rgb="FF969696"/>
      </patternFill>
    </fill>
    <fill>
      <patternFill patternType="solid">
        <fgColor rgb="FFE8F0FF"/>
        <bgColor rgb="FFE6F5EE"/>
      </patternFill>
    </fill>
    <fill>
      <patternFill patternType="solid">
        <fgColor rgb="FFE6F5EE"/>
        <bgColor rgb="FFE8F0FF"/>
      </patternFill>
    </fill>
    <fill>
      <patternFill patternType="solid">
        <fgColor rgb="FF1A7A4A"/>
        <bgColor rgb="FF008080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6" borderId="1" xfId="0" applyFill="1" applyBorder="1"/>
    <xf numFmtId="0" fontId="0" fillId="9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right" vertical="center"/>
    </xf>
    <xf numFmtId="165" fontId="17" fillId="8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8D8"/>
      <rgbColor rgb="FF808080"/>
      <rgbColor rgb="FF9999FF"/>
      <rgbColor rgb="FF993366"/>
      <rgbColor rgb="FFFFF3CC"/>
      <rgbColor rgb="FFE6F5EE"/>
      <rgbColor rgb="FF660066"/>
      <rgbColor rgb="FFFF8080"/>
      <rgbColor rgb="FF0050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F"/>
      <rgbColor rgb="FFF2F5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92A"/>
      <rgbColor rgb="FFFF6600"/>
      <rgbColor rgb="FF5A6472"/>
      <rgbColor rgb="FF969696"/>
      <rgbColor rgb="FF003166"/>
      <rgbColor rgb="FF339966"/>
      <rgbColor rgb="FF003300"/>
      <rgbColor rgb="FF333300"/>
      <rgbColor rgb="FF7A55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zoomScaleNormal="100" workbookViewId="0">
      <pane ySplit="2" topLeftCell="A3" activePane="bottomLeft" state="frozen"/>
      <selection pane="bottomLeft" activeCell="G22" sqref="G22"/>
    </sheetView>
  </sheetViews>
  <sheetFormatPr baseColWidth="10" defaultColWidth="8.7109375" defaultRowHeight="15" x14ac:dyDescent="0.25"/>
  <cols>
    <col min="1" max="1" width="19.85546875" bestFit="1" customWidth="1"/>
    <col min="2" max="2" width="28" customWidth="1"/>
    <col min="3" max="3" width="16" customWidth="1"/>
    <col min="4" max="5" width="13" customWidth="1"/>
    <col min="6" max="6" width="10" customWidth="1"/>
    <col min="7" max="8" width="13" customWidth="1"/>
    <col min="9" max="9" width="10" customWidth="1"/>
    <col min="10" max="11" width="13" customWidth="1"/>
    <col min="12" max="12" width="10" customWidth="1"/>
    <col min="13" max="13" width="12" customWidth="1"/>
    <col min="14" max="14" width="14" customWidth="1"/>
  </cols>
  <sheetData>
    <row r="1" spans="1:14" ht="1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0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</row>
    <row r="3" spans="1:14" ht="15" customHeight="1" x14ac:dyDescent="0.25">
      <c r="A3" s="16" t="s">
        <v>15</v>
      </c>
      <c r="B3" s="17" t="s">
        <v>16</v>
      </c>
      <c r="C3" s="18" t="s">
        <v>17</v>
      </c>
      <c r="D3" s="19">
        <v>1850</v>
      </c>
      <c r="E3" s="19">
        <v>1720</v>
      </c>
      <c r="F3" s="20">
        <f t="shared" ref="F3:F13" si="0">E3/D3</f>
        <v>0.92972972972972978</v>
      </c>
      <c r="G3" s="19">
        <v>1980</v>
      </c>
      <c r="H3" s="19">
        <v>1890</v>
      </c>
      <c r="I3" s="20">
        <f t="shared" ref="I3:I13" si="1">H3/G3</f>
        <v>0.95454545454545459</v>
      </c>
      <c r="J3" s="19">
        <v>2120</v>
      </c>
      <c r="K3" s="19">
        <v>2050</v>
      </c>
      <c r="L3" s="20">
        <f t="shared" ref="L3:L13" si="2">K3/J3</f>
        <v>0.96698113207547165</v>
      </c>
      <c r="M3" s="19">
        <f t="shared" ref="M3:M12" si="3">K3-E3</f>
        <v>330</v>
      </c>
      <c r="N3" s="19">
        <f t="shared" ref="N3:N12" si="4">J3-K3</f>
        <v>70</v>
      </c>
    </row>
    <row r="4" spans="1:14" ht="15" customHeight="1" x14ac:dyDescent="0.25">
      <c r="A4" s="21" t="s">
        <v>18</v>
      </c>
      <c r="B4" s="22" t="s">
        <v>16</v>
      </c>
      <c r="C4" s="23" t="s">
        <v>19</v>
      </c>
      <c r="D4" s="24">
        <v>2200</v>
      </c>
      <c r="E4" s="24">
        <v>2150</v>
      </c>
      <c r="F4" s="25">
        <f t="shared" si="0"/>
        <v>0.97727272727272729</v>
      </c>
      <c r="G4" s="24">
        <v>2350</v>
      </c>
      <c r="H4" s="24">
        <v>2290</v>
      </c>
      <c r="I4" s="25">
        <f t="shared" si="1"/>
        <v>0.97446808510638294</v>
      </c>
      <c r="J4" s="24">
        <v>2520</v>
      </c>
      <c r="K4" s="24">
        <v>2460</v>
      </c>
      <c r="L4" s="25">
        <f t="shared" si="2"/>
        <v>0.97619047619047616</v>
      </c>
      <c r="M4" s="24">
        <f t="shared" si="3"/>
        <v>310</v>
      </c>
      <c r="N4" s="24">
        <f t="shared" si="4"/>
        <v>60</v>
      </c>
    </row>
    <row r="5" spans="1:14" ht="15" customHeight="1" x14ac:dyDescent="0.25">
      <c r="A5" s="16" t="s">
        <v>20</v>
      </c>
      <c r="B5" s="17" t="s">
        <v>16</v>
      </c>
      <c r="C5" s="18" t="s">
        <v>21</v>
      </c>
      <c r="D5" s="19">
        <v>980</v>
      </c>
      <c r="E5" s="19">
        <v>940</v>
      </c>
      <c r="F5" s="20">
        <f t="shared" si="0"/>
        <v>0.95918367346938771</v>
      </c>
      <c r="G5" s="19">
        <v>1050</v>
      </c>
      <c r="H5" s="19">
        <v>1010</v>
      </c>
      <c r="I5" s="20">
        <f t="shared" si="1"/>
        <v>0.96190476190476193</v>
      </c>
      <c r="J5" s="19">
        <v>1150</v>
      </c>
      <c r="K5" s="19">
        <v>1095</v>
      </c>
      <c r="L5" s="20">
        <f t="shared" si="2"/>
        <v>0.95217391304347831</v>
      </c>
      <c r="M5" s="19">
        <f t="shared" si="3"/>
        <v>155</v>
      </c>
      <c r="N5" s="19">
        <f t="shared" si="4"/>
        <v>55</v>
      </c>
    </row>
    <row r="6" spans="1:14" ht="15" customHeight="1" x14ac:dyDescent="0.25">
      <c r="A6" s="21" t="s">
        <v>22</v>
      </c>
      <c r="B6" s="22" t="s">
        <v>16</v>
      </c>
      <c r="C6" s="23" t="s">
        <v>23</v>
      </c>
      <c r="D6" s="24">
        <v>340</v>
      </c>
      <c r="E6" s="24">
        <v>298</v>
      </c>
      <c r="F6" s="25">
        <f t="shared" si="0"/>
        <v>0.87647058823529411</v>
      </c>
      <c r="G6" s="24">
        <v>370</v>
      </c>
      <c r="H6" s="24">
        <v>335</v>
      </c>
      <c r="I6" s="25">
        <f t="shared" si="1"/>
        <v>0.90540540540540537</v>
      </c>
      <c r="J6" s="24">
        <v>400</v>
      </c>
      <c r="K6" s="24">
        <v>368</v>
      </c>
      <c r="L6" s="25">
        <f t="shared" si="2"/>
        <v>0.92</v>
      </c>
      <c r="M6" s="24">
        <f t="shared" si="3"/>
        <v>70</v>
      </c>
      <c r="N6" s="24">
        <f t="shared" si="4"/>
        <v>32</v>
      </c>
    </row>
    <row r="7" spans="1:14" ht="15" customHeight="1" x14ac:dyDescent="0.25">
      <c r="A7" s="16" t="s">
        <v>24</v>
      </c>
      <c r="B7" s="17" t="s">
        <v>25</v>
      </c>
      <c r="C7" s="18" t="s">
        <v>24</v>
      </c>
      <c r="D7" s="19">
        <v>750</v>
      </c>
      <c r="E7" s="19">
        <v>680</v>
      </c>
      <c r="F7" s="20">
        <f t="shared" si="0"/>
        <v>0.90666666666666662</v>
      </c>
      <c r="G7" s="19">
        <v>820</v>
      </c>
      <c r="H7" s="19">
        <v>760</v>
      </c>
      <c r="I7" s="20">
        <f t="shared" si="1"/>
        <v>0.92682926829268297</v>
      </c>
      <c r="J7" s="19">
        <v>910</v>
      </c>
      <c r="K7" s="19">
        <v>855</v>
      </c>
      <c r="L7" s="20">
        <f t="shared" si="2"/>
        <v>0.93956043956043955</v>
      </c>
      <c r="M7" s="19">
        <f t="shared" si="3"/>
        <v>175</v>
      </c>
      <c r="N7" s="19">
        <f t="shared" si="4"/>
        <v>55</v>
      </c>
    </row>
    <row r="8" spans="1:14" ht="15" customHeight="1" x14ac:dyDescent="0.25">
      <c r="A8" s="21" t="s">
        <v>26</v>
      </c>
      <c r="B8" s="22" t="s">
        <v>27</v>
      </c>
      <c r="C8" s="23" t="s">
        <v>28</v>
      </c>
      <c r="D8" s="24">
        <v>520</v>
      </c>
      <c r="E8" s="24">
        <v>498</v>
      </c>
      <c r="F8" s="25">
        <f t="shared" si="0"/>
        <v>0.95769230769230773</v>
      </c>
      <c r="G8" s="24">
        <v>560</v>
      </c>
      <c r="H8" s="24">
        <v>541</v>
      </c>
      <c r="I8" s="25">
        <f t="shared" si="1"/>
        <v>0.96607142857142858</v>
      </c>
      <c r="J8" s="24">
        <v>590</v>
      </c>
      <c r="K8" s="24">
        <v>570</v>
      </c>
      <c r="L8" s="25">
        <f t="shared" si="2"/>
        <v>0.96610169491525422</v>
      </c>
      <c r="M8" s="24">
        <f t="shared" si="3"/>
        <v>72</v>
      </c>
      <c r="N8" s="24">
        <f t="shared" si="4"/>
        <v>20</v>
      </c>
    </row>
    <row r="9" spans="1:14" ht="15" customHeight="1" x14ac:dyDescent="0.25">
      <c r="A9" s="16" t="s">
        <v>29</v>
      </c>
      <c r="B9" s="17" t="s">
        <v>30</v>
      </c>
      <c r="C9" s="18" t="s">
        <v>31</v>
      </c>
      <c r="D9" s="19">
        <v>420</v>
      </c>
      <c r="E9" s="19">
        <v>400</v>
      </c>
      <c r="F9" s="20">
        <f t="shared" si="0"/>
        <v>0.95238095238095233</v>
      </c>
      <c r="G9" s="19">
        <v>450</v>
      </c>
      <c r="H9" s="19">
        <v>438</v>
      </c>
      <c r="I9" s="20">
        <f t="shared" si="1"/>
        <v>0.97333333333333338</v>
      </c>
      <c r="J9" s="19">
        <v>490</v>
      </c>
      <c r="K9" s="19">
        <v>475</v>
      </c>
      <c r="L9" s="20">
        <f t="shared" si="2"/>
        <v>0.96938775510204078</v>
      </c>
      <c r="M9" s="19">
        <f t="shared" si="3"/>
        <v>75</v>
      </c>
      <c r="N9" s="19">
        <f t="shared" si="4"/>
        <v>15</v>
      </c>
    </row>
    <row r="10" spans="1:14" ht="15" customHeight="1" x14ac:dyDescent="0.25">
      <c r="A10" s="21" t="s">
        <v>32</v>
      </c>
      <c r="B10" s="22" t="s">
        <v>30</v>
      </c>
      <c r="C10" s="23" t="s">
        <v>33</v>
      </c>
      <c r="D10" s="24">
        <v>190</v>
      </c>
      <c r="E10" s="24">
        <v>178</v>
      </c>
      <c r="F10" s="25">
        <f t="shared" si="0"/>
        <v>0.93684210526315792</v>
      </c>
      <c r="G10" s="24">
        <v>210</v>
      </c>
      <c r="H10" s="24">
        <v>198</v>
      </c>
      <c r="I10" s="25">
        <f t="shared" si="1"/>
        <v>0.94285714285714284</v>
      </c>
      <c r="J10" s="24">
        <v>230</v>
      </c>
      <c r="K10" s="24">
        <v>219</v>
      </c>
      <c r="L10" s="25">
        <f t="shared" si="2"/>
        <v>0.95217391304347831</v>
      </c>
      <c r="M10" s="24">
        <f t="shared" si="3"/>
        <v>41</v>
      </c>
      <c r="N10" s="24">
        <f t="shared" si="4"/>
        <v>11</v>
      </c>
    </row>
    <row r="11" spans="1:14" ht="15" customHeight="1" x14ac:dyDescent="0.25">
      <c r="A11" s="16" t="s">
        <v>34</v>
      </c>
      <c r="B11" s="17" t="s">
        <v>30</v>
      </c>
      <c r="C11" s="18" t="s">
        <v>35</v>
      </c>
      <c r="D11" s="19">
        <v>280</v>
      </c>
      <c r="E11" s="19">
        <v>245</v>
      </c>
      <c r="F11" s="20">
        <f t="shared" si="0"/>
        <v>0.875</v>
      </c>
      <c r="G11" s="19">
        <v>300</v>
      </c>
      <c r="H11" s="19">
        <v>272</v>
      </c>
      <c r="I11" s="20">
        <f t="shared" si="1"/>
        <v>0.90666666666666662</v>
      </c>
      <c r="J11" s="19">
        <v>320</v>
      </c>
      <c r="K11" s="19">
        <v>296</v>
      </c>
      <c r="L11" s="20">
        <f t="shared" si="2"/>
        <v>0.92500000000000004</v>
      </c>
      <c r="M11" s="19">
        <f t="shared" si="3"/>
        <v>51</v>
      </c>
      <c r="N11" s="19">
        <f t="shared" si="4"/>
        <v>24</v>
      </c>
    </row>
    <row r="12" spans="1:14" ht="15" customHeight="1" x14ac:dyDescent="0.25">
      <c r="A12" s="21" t="s">
        <v>36</v>
      </c>
      <c r="B12" s="22" t="s">
        <v>30</v>
      </c>
      <c r="C12" s="23" t="s">
        <v>37</v>
      </c>
      <c r="D12" s="24">
        <v>120</v>
      </c>
      <c r="E12" s="24">
        <v>108</v>
      </c>
      <c r="F12" s="25">
        <f t="shared" si="0"/>
        <v>0.9</v>
      </c>
      <c r="G12" s="24">
        <v>135</v>
      </c>
      <c r="H12" s="24">
        <v>122</v>
      </c>
      <c r="I12" s="25">
        <f t="shared" si="1"/>
        <v>0.90370370370370368</v>
      </c>
      <c r="J12" s="24">
        <v>148</v>
      </c>
      <c r="K12" s="24">
        <v>135</v>
      </c>
      <c r="L12" s="25">
        <f t="shared" si="2"/>
        <v>0.91216216216216217</v>
      </c>
      <c r="M12" s="24">
        <f t="shared" si="3"/>
        <v>27</v>
      </c>
      <c r="N12" s="24">
        <f t="shared" si="4"/>
        <v>13</v>
      </c>
    </row>
    <row r="13" spans="1:14" ht="18" customHeight="1" x14ac:dyDescent="0.25">
      <c r="A13" s="26" t="s">
        <v>38</v>
      </c>
      <c r="B13" s="26" t="s">
        <v>39</v>
      </c>
      <c r="C13" s="26"/>
      <c r="D13" s="27">
        <f>SUM(D3:D12)</f>
        <v>7650</v>
      </c>
      <c r="E13" s="27">
        <f>SUM(E3:E12)</f>
        <v>7217</v>
      </c>
      <c r="F13" s="28">
        <f t="shared" si="0"/>
        <v>0.94339869281045752</v>
      </c>
      <c r="G13" s="27">
        <f>SUM(G3:G12)</f>
        <v>8225</v>
      </c>
      <c r="H13" s="27">
        <f>SUM(H3:H12)</f>
        <v>7856</v>
      </c>
      <c r="I13" s="28">
        <f t="shared" si="1"/>
        <v>0.95513677811550157</v>
      </c>
      <c r="J13" s="27">
        <f>SUM(J3:J12)</f>
        <v>8878</v>
      </c>
      <c r="K13" s="27">
        <f>SUM(K3:K12)</f>
        <v>8523</v>
      </c>
      <c r="L13" s="28">
        <f t="shared" si="2"/>
        <v>0.96001351655778333</v>
      </c>
      <c r="M13" s="27">
        <f>SUM(M3:M12)</f>
        <v>1306</v>
      </c>
      <c r="N13" s="27">
        <f>SUM(N3:N12)</f>
        <v>355</v>
      </c>
    </row>
  </sheetData>
  <mergeCells count="1">
    <mergeCell ref="A1:N1"/>
  </mergeCells>
  <conditionalFormatting sqref="F3:F12">
    <cfRule type="colorScale" priority="2">
      <colorScale>
        <cfvo type="num" val="0.65"/>
        <cfvo type="num" val="0.88"/>
        <cfvo type="num" val="1"/>
        <color rgb="FFB03030"/>
        <color rgb="FFFFD966"/>
        <color rgb="FF1A7A4A"/>
      </colorScale>
    </cfRule>
  </conditionalFormatting>
  <conditionalFormatting sqref="I3:I12">
    <cfRule type="colorScale" priority="3">
      <colorScale>
        <cfvo type="num" val="0.65"/>
        <cfvo type="num" val="0.88"/>
        <cfvo type="num" val="1"/>
        <color rgb="FFB03030"/>
        <color rgb="FFFFD966"/>
        <color rgb="FF1A7A4A"/>
      </colorScale>
    </cfRule>
  </conditionalFormatting>
  <conditionalFormatting sqref="L3:L12">
    <cfRule type="colorScale" priority="4">
      <colorScale>
        <cfvo type="num" val="0.65"/>
        <cfvo type="num" val="0.88"/>
        <cfvo type="num" val="1"/>
        <color rgb="FFB03030"/>
        <color rgb="FFFFD966"/>
        <color rgb="FF1A7A4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showGridLines="0" zoomScaleNormal="100" workbookViewId="0">
      <selection sqref="A1:J1"/>
    </sheetView>
  </sheetViews>
  <sheetFormatPr baseColWidth="10" defaultColWidth="8.7109375" defaultRowHeight="15" x14ac:dyDescent="0.25"/>
  <cols>
    <col min="1" max="1" width="16" customWidth="1"/>
    <col min="2" max="2" width="28" customWidth="1"/>
    <col min="3" max="4" width="14" customWidth="1"/>
    <col min="5" max="5" width="10" customWidth="1"/>
    <col min="6" max="7" width="14" customWidth="1"/>
    <col min="8" max="8" width="10" customWidth="1"/>
    <col min="9" max="10" width="14" customWidth="1"/>
  </cols>
  <sheetData>
    <row r="1" spans="1:10" ht="24" customHeight="1" x14ac:dyDescent="0.25">
      <c r="A1" s="14" t="s">
        <v>40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 x14ac:dyDescent="0.25">
      <c r="A2" s="13" t="s">
        <v>41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 x14ac:dyDescent="0.25">
      <c r="A3" s="29" t="s">
        <v>3</v>
      </c>
      <c r="B3" s="29" t="s">
        <v>42</v>
      </c>
      <c r="C3" s="29" t="s">
        <v>43</v>
      </c>
      <c r="D3" s="29" t="s">
        <v>44</v>
      </c>
      <c r="E3" s="29" t="s">
        <v>45</v>
      </c>
      <c r="F3" s="29" t="s">
        <v>46</v>
      </c>
      <c r="G3" s="29" t="s">
        <v>47</v>
      </c>
      <c r="H3" s="29" t="s">
        <v>48</v>
      </c>
      <c r="I3" s="29" t="s">
        <v>49</v>
      </c>
      <c r="J3" s="29" t="s">
        <v>50</v>
      </c>
    </row>
    <row r="4" spans="1:10" ht="15" customHeight="1" x14ac:dyDescent="0.25">
      <c r="A4" s="22" t="str">
        <f>'Base de Datos'!C3</f>
        <v>MEDUCA</v>
      </c>
      <c r="B4" s="22" t="str">
        <f>'Base de Datos'!B3</f>
        <v>Social</v>
      </c>
      <c r="C4" s="24">
        <f>'Base de Datos'!D3</f>
        <v>1850</v>
      </c>
      <c r="D4" s="24">
        <f>'Base de Datos'!E3</f>
        <v>1720</v>
      </c>
      <c r="E4" s="25">
        <f t="shared" ref="E4:E14" si="0">D4/C4</f>
        <v>0.92972972972972978</v>
      </c>
      <c r="F4" s="24">
        <f>'Base de Datos'!G3</f>
        <v>1980</v>
      </c>
      <c r="G4" s="24">
        <f>'Base de Datos'!H3</f>
        <v>1890</v>
      </c>
      <c r="H4" s="25">
        <f t="shared" ref="H4:H14" si="1">G4/F4</f>
        <v>0.95454545454545459</v>
      </c>
      <c r="I4" s="24">
        <f>'Base de Datos'!J3</f>
        <v>2120</v>
      </c>
      <c r="J4" s="24">
        <f>'Base de Datos'!K3</f>
        <v>2050</v>
      </c>
    </row>
    <row r="5" spans="1:10" ht="15" customHeight="1" x14ac:dyDescent="0.25">
      <c r="A5" s="17" t="str">
        <f>'Base de Datos'!C4</f>
        <v>CSS</v>
      </c>
      <c r="B5" s="17" t="str">
        <f>'Base de Datos'!B4</f>
        <v>Social</v>
      </c>
      <c r="C5" s="19">
        <f>'Base de Datos'!D4</f>
        <v>2200</v>
      </c>
      <c r="D5" s="19">
        <f>'Base de Datos'!E4</f>
        <v>2150</v>
      </c>
      <c r="E5" s="20">
        <f t="shared" si="0"/>
        <v>0.97727272727272729</v>
      </c>
      <c r="F5" s="19">
        <f>'Base de Datos'!G4</f>
        <v>2350</v>
      </c>
      <c r="G5" s="19">
        <f>'Base de Datos'!H4</f>
        <v>2290</v>
      </c>
      <c r="H5" s="20">
        <f t="shared" si="1"/>
        <v>0.97446808510638294</v>
      </c>
      <c r="I5" s="19">
        <f>'Base de Datos'!J4</f>
        <v>2520</v>
      </c>
      <c r="J5" s="19">
        <f>'Base de Datos'!K4</f>
        <v>2460</v>
      </c>
    </row>
    <row r="6" spans="1:10" ht="15" customHeight="1" x14ac:dyDescent="0.25">
      <c r="A6" s="22" t="str">
        <f>'Base de Datos'!C5</f>
        <v>MINSA</v>
      </c>
      <c r="B6" s="22" t="str">
        <f>'Base de Datos'!B5</f>
        <v>Social</v>
      </c>
      <c r="C6" s="24">
        <f>'Base de Datos'!D5</f>
        <v>980</v>
      </c>
      <c r="D6" s="24">
        <f>'Base de Datos'!E5</f>
        <v>940</v>
      </c>
      <c r="E6" s="25">
        <f t="shared" si="0"/>
        <v>0.95918367346938771</v>
      </c>
      <c r="F6" s="24">
        <f>'Base de Datos'!G5</f>
        <v>1050</v>
      </c>
      <c r="G6" s="24">
        <f>'Base de Datos'!H5</f>
        <v>1010</v>
      </c>
      <c r="H6" s="25">
        <f t="shared" si="1"/>
        <v>0.96190476190476193</v>
      </c>
      <c r="I6" s="24">
        <f>'Base de Datos'!J5</f>
        <v>1150</v>
      </c>
      <c r="J6" s="24">
        <f>'Base de Datos'!K5</f>
        <v>1095</v>
      </c>
    </row>
    <row r="7" spans="1:10" ht="15" customHeight="1" x14ac:dyDescent="0.25">
      <c r="A7" s="17" t="str">
        <f>'Base de Datos'!C6</f>
        <v>MIVIOT</v>
      </c>
      <c r="B7" s="17" t="str">
        <f>'Base de Datos'!B6</f>
        <v>Social</v>
      </c>
      <c r="C7" s="19">
        <f>'Base de Datos'!D6</f>
        <v>340</v>
      </c>
      <c r="D7" s="19">
        <f>'Base de Datos'!E6</f>
        <v>298</v>
      </c>
      <c r="E7" s="20">
        <f t="shared" si="0"/>
        <v>0.87647058823529411</v>
      </c>
      <c r="F7" s="19">
        <f>'Base de Datos'!G6</f>
        <v>370</v>
      </c>
      <c r="G7" s="19">
        <f>'Base de Datos'!H6</f>
        <v>335</v>
      </c>
      <c r="H7" s="20">
        <f t="shared" si="1"/>
        <v>0.90540540540540537</v>
      </c>
      <c r="I7" s="19">
        <f>'Base de Datos'!J6</f>
        <v>400</v>
      </c>
      <c r="J7" s="19">
        <f>'Base de Datos'!K6</f>
        <v>368</v>
      </c>
    </row>
    <row r="8" spans="1:10" ht="15" customHeight="1" x14ac:dyDescent="0.25">
      <c r="A8" s="22" t="str">
        <f>'Base de Datos'!C7</f>
        <v>MOP</v>
      </c>
      <c r="B8" s="22" t="str">
        <f>'Base de Datos'!B7</f>
        <v>Infraestructura</v>
      </c>
      <c r="C8" s="24">
        <f>'Base de Datos'!D7</f>
        <v>750</v>
      </c>
      <c r="D8" s="24">
        <f>'Base de Datos'!E7</f>
        <v>680</v>
      </c>
      <c r="E8" s="25">
        <f t="shared" si="0"/>
        <v>0.90666666666666662</v>
      </c>
      <c r="F8" s="24">
        <f>'Base de Datos'!G7</f>
        <v>820</v>
      </c>
      <c r="G8" s="24">
        <f>'Base de Datos'!H7</f>
        <v>760</v>
      </c>
      <c r="H8" s="25">
        <f t="shared" si="1"/>
        <v>0.92682926829268297</v>
      </c>
      <c r="I8" s="24">
        <f>'Base de Datos'!J7</f>
        <v>910</v>
      </c>
      <c r="J8" s="24">
        <f>'Base de Datos'!K7</f>
        <v>855</v>
      </c>
    </row>
    <row r="9" spans="1:10" ht="15" customHeight="1" x14ac:dyDescent="0.25">
      <c r="A9" s="17" t="str">
        <f>'Base de Datos'!C8</f>
        <v>MINSEG</v>
      </c>
      <c r="B9" s="17" t="str">
        <f>'Base de Datos'!B8</f>
        <v>Seguridad</v>
      </c>
      <c r="C9" s="19">
        <f>'Base de Datos'!D8</f>
        <v>520</v>
      </c>
      <c r="D9" s="19">
        <f>'Base de Datos'!E8</f>
        <v>498</v>
      </c>
      <c r="E9" s="20">
        <f t="shared" si="0"/>
        <v>0.95769230769230773</v>
      </c>
      <c r="F9" s="19">
        <f>'Base de Datos'!G8</f>
        <v>560</v>
      </c>
      <c r="G9" s="19">
        <f>'Base de Datos'!H8</f>
        <v>541</v>
      </c>
      <c r="H9" s="20">
        <f t="shared" si="1"/>
        <v>0.96607142857142858</v>
      </c>
      <c r="I9" s="19">
        <f>'Base de Datos'!J8</f>
        <v>590</v>
      </c>
      <c r="J9" s="19">
        <f>'Base de Datos'!K8</f>
        <v>570</v>
      </c>
    </row>
    <row r="10" spans="1:10" ht="15" customHeight="1" x14ac:dyDescent="0.25">
      <c r="A10" s="22" t="str">
        <f>'Base de Datos'!C9</f>
        <v>MEF</v>
      </c>
      <c r="B10" s="22" t="str">
        <f>'Base de Datos'!B9</f>
        <v>Económico</v>
      </c>
      <c r="C10" s="24">
        <f>'Base de Datos'!D9</f>
        <v>420</v>
      </c>
      <c r="D10" s="24">
        <f>'Base de Datos'!E9</f>
        <v>400</v>
      </c>
      <c r="E10" s="25">
        <f t="shared" si="0"/>
        <v>0.95238095238095233</v>
      </c>
      <c r="F10" s="24">
        <f>'Base de Datos'!G9</f>
        <v>450</v>
      </c>
      <c r="G10" s="24">
        <f>'Base de Datos'!H9</f>
        <v>438</v>
      </c>
      <c r="H10" s="25">
        <f t="shared" si="1"/>
        <v>0.97333333333333338</v>
      </c>
      <c r="I10" s="24">
        <f>'Base de Datos'!J9</f>
        <v>490</v>
      </c>
      <c r="J10" s="24">
        <f>'Base de Datos'!K9</f>
        <v>475</v>
      </c>
    </row>
    <row r="11" spans="1:10" ht="15" customHeight="1" x14ac:dyDescent="0.25">
      <c r="A11" s="17" t="str">
        <f>'Base de Datos'!C10</f>
        <v>MICI</v>
      </c>
      <c r="B11" s="17" t="str">
        <f>'Base de Datos'!B10</f>
        <v>Económico</v>
      </c>
      <c r="C11" s="19">
        <f>'Base de Datos'!D10</f>
        <v>190</v>
      </c>
      <c r="D11" s="19">
        <f>'Base de Datos'!E10</f>
        <v>178</v>
      </c>
      <c r="E11" s="20">
        <f t="shared" si="0"/>
        <v>0.93684210526315792</v>
      </c>
      <c r="F11" s="19">
        <f>'Base de Datos'!G10</f>
        <v>210</v>
      </c>
      <c r="G11" s="19">
        <f>'Base de Datos'!H10</f>
        <v>198</v>
      </c>
      <c r="H11" s="20">
        <f t="shared" si="1"/>
        <v>0.94285714285714284</v>
      </c>
      <c r="I11" s="19">
        <f>'Base de Datos'!J10</f>
        <v>230</v>
      </c>
      <c r="J11" s="19">
        <f>'Base de Datos'!K10</f>
        <v>219</v>
      </c>
    </row>
    <row r="12" spans="1:10" ht="15" customHeight="1" x14ac:dyDescent="0.25">
      <c r="A12" s="22" t="str">
        <f>'Base de Datos'!C11</f>
        <v>MIDA</v>
      </c>
      <c r="B12" s="22" t="str">
        <f>'Base de Datos'!B11</f>
        <v>Económico</v>
      </c>
      <c r="C12" s="24">
        <f>'Base de Datos'!D11</f>
        <v>280</v>
      </c>
      <c r="D12" s="24">
        <f>'Base de Datos'!E11</f>
        <v>245</v>
      </c>
      <c r="E12" s="25">
        <f t="shared" si="0"/>
        <v>0.875</v>
      </c>
      <c r="F12" s="24">
        <f>'Base de Datos'!G11</f>
        <v>300</v>
      </c>
      <c r="G12" s="24">
        <f>'Base de Datos'!H11</f>
        <v>272</v>
      </c>
      <c r="H12" s="25">
        <f t="shared" si="1"/>
        <v>0.90666666666666662</v>
      </c>
      <c r="I12" s="24">
        <f>'Base de Datos'!J11</f>
        <v>320</v>
      </c>
      <c r="J12" s="24">
        <f>'Base de Datos'!K11</f>
        <v>296</v>
      </c>
    </row>
    <row r="13" spans="1:10" ht="15" customHeight="1" x14ac:dyDescent="0.25">
      <c r="A13" s="17" t="str">
        <f>'Base de Datos'!C12</f>
        <v>MiAMBIENTE</v>
      </c>
      <c r="B13" s="17" t="str">
        <f>'Base de Datos'!B12</f>
        <v>Económico</v>
      </c>
      <c r="C13" s="19">
        <f>'Base de Datos'!D12</f>
        <v>120</v>
      </c>
      <c r="D13" s="19">
        <f>'Base de Datos'!E12</f>
        <v>108</v>
      </c>
      <c r="E13" s="20">
        <f t="shared" si="0"/>
        <v>0.9</v>
      </c>
      <c r="F13" s="19">
        <f>'Base de Datos'!G12</f>
        <v>135</v>
      </c>
      <c r="G13" s="19">
        <f>'Base de Datos'!H12</f>
        <v>122</v>
      </c>
      <c r="H13" s="20">
        <f t="shared" si="1"/>
        <v>0.90370370370370368</v>
      </c>
      <c r="I13" s="19">
        <f>'Base de Datos'!J12</f>
        <v>148</v>
      </c>
      <c r="J13" s="19">
        <f>'Base de Datos'!K12</f>
        <v>135</v>
      </c>
    </row>
    <row r="14" spans="1:10" ht="15" customHeight="1" x14ac:dyDescent="0.25">
      <c r="A14" s="26" t="s">
        <v>39</v>
      </c>
      <c r="B14" s="26" t="s">
        <v>51</v>
      </c>
      <c r="C14" s="27">
        <f>SUM(C4:C13)</f>
        <v>7650</v>
      </c>
      <c r="D14" s="27">
        <f>SUM(D4:D13)</f>
        <v>7217</v>
      </c>
      <c r="E14" s="28">
        <f t="shared" si="0"/>
        <v>0.94339869281045752</v>
      </c>
      <c r="F14" s="27">
        <f>SUM(F4:F13)</f>
        <v>8225</v>
      </c>
      <c r="G14" s="27">
        <f>SUM(G4:G13)</f>
        <v>7856</v>
      </c>
      <c r="H14" s="28">
        <f t="shared" si="1"/>
        <v>0.95513677811550157</v>
      </c>
      <c r="I14" s="27">
        <f>SUM(I4:I13)</f>
        <v>8878</v>
      </c>
      <c r="J14" s="27">
        <f>SUM(J4:J13)</f>
        <v>8523</v>
      </c>
    </row>
  </sheetData>
  <mergeCells count="2">
    <mergeCell ref="A1:J1"/>
    <mergeCell ref="A2:J2"/>
  </mergeCells>
  <conditionalFormatting sqref="E4:E13">
    <cfRule type="colorScale" priority="2">
      <colorScale>
        <cfvo type="num" val="0.65"/>
        <cfvo type="num" val="0.88"/>
        <cfvo type="num" val="1"/>
        <color rgb="FFB03030"/>
        <color rgb="FFFFD966"/>
        <color rgb="FF1A7A4A"/>
      </colorScale>
    </cfRule>
  </conditionalFormatting>
  <conditionalFormatting sqref="H4:H13">
    <cfRule type="colorScale" priority="3">
      <colorScale>
        <cfvo type="num" val="0.65"/>
        <cfvo type="num" val="0.88"/>
        <cfvo type="num" val="1"/>
        <color rgb="FFB03030"/>
        <color rgb="FFFFD966"/>
        <color rgb="FF1A7A4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showGridLines="0" zoomScaleNormal="100" workbookViewId="0">
      <selection activeCell="E10" sqref="E10"/>
    </sheetView>
  </sheetViews>
  <sheetFormatPr baseColWidth="10" defaultColWidth="8.7109375" defaultRowHeight="15" x14ac:dyDescent="0.25"/>
  <cols>
    <col min="1" max="1" width="12" customWidth="1"/>
    <col min="2" max="2" width="19.85546875" bestFit="1" customWidth="1"/>
    <col min="3" max="3" width="14.42578125" bestFit="1" customWidth="1"/>
    <col min="4" max="4" width="12" customWidth="1"/>
    <col min="5" max="5" width="21.85546875" bestFit="1" customWidth="1"/>
    <col min="6" max="12" width="12" customWidth="1"/>
  </cols>
  <sheetData>
    <row r="1" spans="1:12" ht="30" customHeight="1" x14ac:dyDescent="0.25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25">
      <c r="A2" s="11" t="s">
        <v>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15" customHeight="1" x14ac:dyDescent="0.25">
      <c r="A4" s="10" t="s">
        <v>54</v>
      </c>
      <c r="B4" s="10"/>
      <c r="C4" s="10"/>
      <c r="D4" s="10"/>
      <c r="E4" s="9" t="s">
        <v>55</v>
      </c>
      <c r="F4" s="9"/>
      <c r="G4" s="9"/>
      <c r="H4" s="9"/>
      <c r="I4" s="8" t="s">
        <v>56</v>
      </c>
      <c r="J4" s="8"/>
      <c r="K4" s="8"/>
      <c r="L4" s="8"/>
    </row>
    <row r="5" spans="1:12" ht="21.75" customHeight="1" x14ac:dyDescent="0.25">
      <c r="A5" s="7">
        <f>'Base de Datos'!K13</f>
        <v>8523</v>
      </c>
      <c r="B5" s="7"/>
      <c r="C5" s="7"/>
      <c r="D5" s="7"/>
      <c r="E5" s="6">
        <f>'Base de Datos'!L13</f>
        <v>0.96001351655778333</v>
      </c>
      <c r="F5" s="6"/>
      <c r="G5" s="6"/>
      <c r="H5" s="6"/>
      <c r="I5" s="5">
        <f>'Base de Datos'!L13/'Base de Datos'!K13</f>
        <v>1.1263798152737103E-4</v>
      </c>
      <c r="J5" s="5"/>
      <c r="K5" s="5"/>
      <c r="L5" s="5"/>
    </row>
    <row r="6" spans="1:12" ht="15" customHeight="1" x14ac:dyDescent="0.25">
      <c r="A6" s="4" t="s">
        <v>57</v>
      </c>
      <c r="B6" s="4"/>
      <c r="C6" s="4"/>
      <c r="D6" s="4"/>
      <c r="E6" s="3" t="s">
        <v>57</v>
      </c>
      <c r="F6" s="3"/>
      <c r="G6" s="3"/>
      <c r="H6" s="3"/>
      <c r="I6" s="2" t="s">
        <v>58</v>
      </c>
      <c r="J6" s="2"/>
      <c r="K6" s="2"/>
      <c r="L6" s="2"/>
    </row>
    <row r="7" spans="1:12" ht="15" customHeight="1" x14ac:dyDescent="0.25">
      <c r="A7" s="30"/>
      <c r="B7" s="30"/>
      <c r="C7" s="30"/>
      <c r="D7" s="30"/>
      <c r="E7" s="31"/>
      <c r="F7" s="31"/>
      <c r="G7" s="31"/>
      <c r="H7" s="31"/>
      <c r="I7" s="32"/>
      <c r="J7" s="32"/>
      <c r="K7" s="32"/>
      <c r="L7" s="32"/>
    </row>
    <row r="9" spans="1:12" ht="19.5" customHeight="1" x14ac:dyDescent="0.25">
      <c r="A9" s="1" t="s">
        <v>59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 x14ac:dyDescent="0.25">
      <c r="A10" s="33" t="s">
        <v>60</v>
      </c>
      <c r="B10" s="33" t="s">
        <v>61</v>
      </c>
      <c r="C10" s="33" t="s">
        <v>62</v>
      </c>
      <c r="D10" s="33" t="s">
        <v>63</v>
      </c>
      <c r="E10" s="33" t="s">
        <v>64</v>
      </c>
    </row>
    <row r="11" spans="1:12" ht="15" customHeight="1" x14ac:dyDescent="0.25">
      <c r="A11" s="34" t="s">
        <v>65</v>
      </c>
      <c r="B11" s="19">
        <f>SUM('Base de Datos'!D3:D12)</f>
        <v>7650</v>
      </c>
      <c r="C11" s="19">
        <f>SUM('Base de Datos'!E3:E12)</f>
        <v>7217</v>
      </c>
      <c r="D11" s="20">
        <f>C11/B11</f>
        <v>0.94339869281045752</v>
      </c>
      <c r="E11" s="20" t="s">
        <v>66</v>
      </c>
    </row>
    <row r="12" spans="1:12" ht="15" customHeight="1" x14ac:dyDescent="0.25">
      <c r="A12" s="35" t="s">
        <v>67</v>
      </c>
      <c r="B12" s="24">
        <f>SUM('Base de Datos'!G3:G12)</f>
        <v>8225</v>
      </c>
      <c r="C12" s="24">
        <f>SUM('Base de Datos'!H3:H12)</f>
        <v>7856</v>
      </c>
      <c r="D12" s="25">
        <f>C12/B12</f>
        <v>0.95513677811550157</v>
      </c>
      <c r="E12" s="25">
        <f>(C12-C11)/C11</f>
        <v>8.8540944990993492E-2</v>
      </c>
    </row>
    <row r="13" spans="1:12" ht="15" customHeight="1" x14ac:dyDescent="0.25">
      <c r="A13" s="36" t="s">
        <v>68</v>
      </c>
      <c r="B13" s="37">
        <f>SUM('Base de Datos'!J3:J12)</f>
        <v>8878</v>
      </c>
      <c r="C13" s="37">
        <f>SUM('Base de Datos'!K3:K12)</f>
        <v>8523</v>
      </c>
      <c r="D13" s="38">
        <f>C13/B13</f>
        <v>0.96001351655778333</v>
      </c>
      <c r="E13" s="38">
        <f>(C13-C12)/C12</f>
        <v>8.4903258655804476E-2</v>
      </c>
    </row>
    <row r="15" spans="1:12" ht="15" customHeight="1" x14ac:dyDescent="0.25">
      <c r="A15" s="43" t="s">
        <v>69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</sheetData>
  <mergeCells count="13">
    <mergeCell ref="A9:L9"/>
    <mergeCell ref="A15:L15"/>
    <mergeCell ref="A5:D5"/>
    <mergeCell ref="E5:H5"/>
    <mergeCell ref="I5:L5"/>
    <mergeCell ref="A6:D6"/>
    <mergeCell ref="E6:H6"/>
    <mergeCell ref="I6:L6"/>
    <mergeCell ref="A1:L1"/>
    <mergeCell ref="A2:L2"/>
    <mergeCell ref="A4:D4"/>
    <mergeCell ref="E4:H4"/>
    <mergeCell ref="I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showGridLines="0" tabSelected="1" zoomScaleNormal="100" workbookViewId="0">
      <selection activeCell="E4" sqref="E4"/>
    </sheetView>
  </sheetViews>
  <sheetFormatPr baseColWidth="10" defaultColWidth="8.7109375" defaultRowHeight="15" x14ac:dyDescent="0.25"/>
  <cols>
    <col min="1" max="1" width="12" customWidth="1"/>
    <col min="2" max="2" width="19.85546875" bestFit="1" customWidth="1"/>
    <col min="3" max="3" width="28" customWidth="1"/>
    <col min="4" max="4" width="16" customWidth="1"/>
    <col min="5" max="5" width="12" customWidth="1"/>
    <col min="6" max="7" width="20" customWidth="1"/>
    <col min="8" max="8" width="14" customWidth="1"/>
    <col min="9" max="9" width="16" customWidth="1"/>
    <col min="10" max="10" width="20" customWidth="1"/>
  </cols>
  <sheetData>
    <row r="1" spans="1:10" ht="15" customHeight="1" x14ac:dyDescent="0.25">
      <c r="A1" s="44" t="s">
        <v>70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 customHeight="1" x14ac:dyDescent="0.25">
      <c r="A2" s="39" t="s">
        <v>71</v>
      </c>
      <c r="B2" s="39" t="s">
        <v>72</v>
      </c>
      <c r="C2" s="39" t="s">
        <v>73</v>
      </c>
      <c r="D2" s="39" t="s">
        <v>74</v>
      </c>
      <c r="E2" s="39" t="s">
        <v>75</v>
      </c>
      <c r="F2" s="39" t="s">
        <v>76</v>
      </c>
      <c r="G2" s="39" t="s">
        <v>77</v>
      </c>
      <c r="H2" s="39" t="s">
        <v>78</v>
      </c>
      <c r="I2" s="39" t="s">
        <v>79</v>
      </c>
      <c r="J2" s="39" t="s">
        <v>80</v>
      </c>
    </row>
    <row r="3" spans="1:10" ht="15" customHeight="1" x14ac:dyDescent="0.25">
      <c r="A3" s="18">
        <v>1</v>
      </c>
      <c r="B3" s="18" t="str">
        <f>'Base de Datos'!A3</f>
        <v>Ministerio de Educación</v>
      </c>
      <c r="C3" s="17" t="str">
        <f>'Base de Datos'!B3</f>
        <v>Social</v>
      </c>
      <c r="D3" s="17" t="str">
        <f>'Base de Datos'!C3</f>
        <v>MEDUCA</v>
      </c>
      <c r="E3" s="16">
        <v>2022</v>
      </c>
      <c r="F3" s="19">
        <f>'Base de Datos'!D3</f>
        <v>1850</v>
      </c>
      <c r="G3" s="19">
        <f>'Base de Datos'!E3</f>
        <v>1720</v>
      </c>
      <c r="H3" s="20">
        <f t="shared" ref="H3:H32" si="0">G3/F3</f>
        <v>0.92972972972972978</v>
      </c>
      <c r="I3" s="20" t="s">
        <v>81</v>
      </c>
      <c r="J3" s="19">
        <f t="shared" ref="J3:J32" si="1">F3-G3</f>
        <v>130</v>
      </c>
    </row>
    <row r="4" spans="1:10" ht="15" customHeight="1" x14ac:dyDescent="0.25">
      <c r="A4" s="23">
        <v>2</v>
      </c>
      <c r="B4" s="23" t="str">
        <f>'Base de Datos'!A3</f>
        <v>Ministerio de Educación</v>
      </c>
      <c r="C4" s="22" t="str">
        <f>'Base de Datos'!B3</f>
        <v>Social</v>
      </c>
      <c r="D4" s="22" t="str">
        <f>'Base de Datos'!C3</f>
        <v>MEDUCA</v>
      </c>
      <c r="E4" s="21">
        <v>2023</v>
      </c>
      <c r="F4" s="24">
        <f>'Base de Datos'!G3</f>
        <v>1980</v>
      </c>
      <c r="G4" s="24">
        <f>'Base de Datos'!H3</f>
        <v>1890</v>
      </c>
      <c r="H4" s="25">
        <f t="shared" si="0"/>
        <v>0.95454545454545459</v>
      </c>
      <c r="I4" s="25">
        <f>(G4-G3)/G3</f>
        <v>9.8837209302325577E-2</v>
      </c>
      <c r="J4" s="24">
        <f t="shared" si="1"/>
        <v>90</v>
      </c>
    </row>
    <row r="5" spans="1:10" ht="15" customHeight="1" x14ac:dyDescent="0.25">
      <c r="A5" s="18">
        <v>3</v>
      </c>
      <c r="B5" s="18" t="str">
        <f>'Base de Datos'!A3</f>
        <v>Ministerio de Educación</v>
      </c>
      <c r="C5" s="17" t="str">
        <f>'Base de Datos'!B3</f>
        <v>Social</v>
      </c>
      <c r="D5" s="17" t="str">
        <f>'Base de Datos'!C3</f>
        <v>MEDUCA</v>
      </c>
      <c r="E5" s="16">
        <v>2024</v>
      </c>
      <c r="F5" s="19">
        <f>'Base de Datos'!J3</f>
        <v>2120</v>
      </c>
      <c r="G5" s="19">
        <f>'Base de Datos'!K3</f>
        <v>2050</v>
      </c>
      <c r="H5" s="20">
        <f t="shared" si="0"/>
        <v>0.96698113207547165</v>
      </c>
      <c r="I5" s="20">
        <f>(G5-G4)/G4</f>
        <v>8.4656084656084651E-2</v>
      </c>
      <c r="J5" s="19">
        <f t="shared" si="1"/>
        <v>70</v>
      </c>
    </row>
    <row r="6" spans="1:10" ht="15" customHeight="1" x14ac:dyDescent="0.25">
      <c r="A6" s="23">
        <v>4</v>
      </c>
      <c r="B6" s="23" t="str">
        <f>'Base de Datos'!A4</f>
        <v>Caja de Seguro Social</v>
      </c>
      <c r="C6" s="22" t="str">
        <f>'Base de Datos'!B4</f>
        <v>Social</v>
      </c>
      <c r="D6" s="22" t="str">
        <f>'Base de Datos'!C4</f>
        <v>CSS</v>
      </c>
      <c r="E6" s="21">
        <v>2022</v>
      </c>
      <c r="F6" s="24">
        <f>'Base de Datos'!D4</f>
        <v>2200</v>
      </c>
      <c r="G6" s="24">
        <f>'Base de Datos'!E4</f>
        <v>2150</v>
      </c>
      <c r="H6" s="25">
        <f t="shared" si="0"/>
        <v>0.97727272727272729</v>
      </c>
      <c r="I6" s="25" t="s">
        <v>81</v>
      </c>
      <c r="J6" s="24">
        <f t="shared" si="1"/>
        <v>50</v>
      </c>
    </row>
    <row r="7" spans="1:10" ht="15" customHeight="1" x14ac:dyDescent="0.25">
      <c r="A7" s="18">
        <v>5</v>
      </c>
      <c r="B7" s="18" t="str">
        <f>'Base de Datos'!A4</f>
        <v>Caja de Seguro Social</v>
      </c>
      <c r="C7" s="17" t="str">
        <f>'Base de Datos'!B4</f>
        <v>Social</v>
      </c>
      <c r="D7" s="17" t="str">
        <f>'Base de Datos'!C4</f>
        <v>CSS</v>
      </c>
      <c r="E7" s="16">
        <v>2023</v>
      </c>
      <c r="F7" s="19">
        <f>'Base de Datos'!G4</f>
        <v>2350</v>
      </c>
      <c r="G7" s="19">
        <f>'Base de Datos'!H4</f>
        <v>2290</v>
      </c>
      <c r="H7" s="20">
        <f t="shared" si="0"/>
        <v>0.97446808510638294</v>
      </c>
      <c r="I7" s="20">
        <f>(G7-G6)/G6</f>
        <v>6.5116279069767441E-2</v>
      </c>
      <c r="J7" s="19">
        <f t="shared" si="1"/>
        <v>60</v>
      </c>
    </row>
    <row r="8" spans="1:10" ht="15" customHeight="1" x14ac:dyDescent="0.25">
      <c r="A8" s="23">
        <v>6</v>
      </c>
      <c r="B8" s="23" t="str">
        <f>'Base de Datos'!A4</f>
        <v>Caja de Seguro Social</v>
      </c>
      <c r="C8" s="22" t="str">
        <f>'Base de Datos'!B4</f>
        <v>Social</v>
      </c>
      <c r="D8" s="22" t="str">
        <f>'Base de Datos'!C4</f>
        <v>CSS</v>
      </c>
      <c r="E8" s="21">
        <v>2024</v>
      </c>
      <c r="F8" s="24">
        <f>'Base de Datos'!J4</f>
        <v>2520</v>
      </c>
      <c r="G8" s="24">
        <f>'Base de Datos'!K4</f>
        <v>2460</v>
      </c>
      <c r="H8" s="25">
        <f t="shared" si="0"/>
        <v>0.97619047619047616</v>
      </c>
      <c r="I8" s="25">
        <f>(G8-G7)/G7</f>
        <v>7.4235807860262015E-2</v>
      </c>
      <c r="J8" s="24">
        <f t="shared" si="1"/>
        <v>60</v>
      </c>
    </row>
    <row r="9" spans="1:10" ht="15" customHeight="1" x14ac:dyDescent="0.25">
      <c r="A9" s="18">
        <v>7</v>
      </c>
      <c r="B9" s="18" t="str">
        <f>'Base de Datos'!A5</f>
        <v>Ministerio de Salud</v>
      </c>
      <c r="C9" s="17" t="str">
        <f>'Base de Datos'!B5</f>
        <v>Social</v>
      </c>
      <c r="D9" s="17" t="str">
        <f>'Base de Datos'!C5</f>
        <v>MINSA</v>
      </c>
      <c r="E9" s="16">
        <v>2022</v>
      </c>
      <c r="F9" s="19">
        <f>'Base de Datos'!D5</f>
        <v>980</v>
      </c>
      <c r="G9" s="19">
        <f>'Base de Datos'!E5</f>
        <v>940</v>
      </c>
      <c r="H9" s="20">
        <f t="shared" si="0"/>
        <v>0.95918367346938771</v>
      </c>
      <c r="I9" s="20" t="s">
        <v>81</v>
      </c>
      <c r="J9" s="19">
        <f t="shared" si="1"/>
        <v>40</v>
      </c>
    </row>
    <row r="10" spans="1:10" ht="15" customHeight="1" x14ac:dyDescent="0.25">
      <c r="A10" s="23">
        <v>8</v>
      </c>
      <c r="B10" s="23" t="str">
        <f>'Base de Datos'!A5</f>
        <v>Ministerio de Salud</v>
      </c>
      <c r="C10" s="22" t="str">
        <f>'Base de Datos'!B5</f>
        <v>Social</v>
      </c>
      <c r="D10" s="22" t="str">
        <f>'Base de Datos'!C5</f>
        <v>MINSA</v>
      </c>
      <c r="E10" s="21">
        <v>2023</v>
      </c>
      <c r="F10" s="24">
        <f>'Base de Datos'!G5</f>
        <v>1050</v>
      </c>
      <c r="G10" s="24">
        <f>'Base de Datos'!H5</f>
        <v>1010</v>
      </c>
      <c r="H10" s="25">
        <f t="shared" si="0"/>
        <v>0.96190476190476193</v>
      </c>
      <c r="I10" s="25">
        <f>(G10-G9)/G9</f>
        <v>7.4468085106382975E-2</v>
      </c>
      <c r="J10" s="24">
        <f t="shared" si="1"/>
        <v>40</v>
      </c>
    </row>
    <row r="11" spans="1:10" ht="15" customHeight="1" x14ac:dyDescent="0.25">
      <c r="A11" s="18">
        <v>9</v>
      </c>
      <c r="B11" s="18" t="str">
        <f>'Base de Datos'!A5</f>
        <v>Ministerio de Salud</v>
      </c>
      <c r="C11" s="17" t="str">
        <f>'Base de Datos'!B5</f>
        <v>Social</v>
      </c>
      <c r="D11" s="17" t="str">
        <f>'Base de Datos'!C5</f>
        <v>MINSA</v>
      </c>
      <c r="E11" s="16">
        <v>2024</v>
      </c>
      <c r="F11" s="19">
        <f>'Base de Datos'!J5</f>
        <v>1150</v>
      </c>
      <c r="G11" s="19">
        <f>'Base de Datos'!K5</f>
        <v>1095</v>
      </c>
      <c r="H11" s="20">
        <f t="shared" si="0"/>
        <v>0.95217391304347831</v>
      </c>
      <c r="I11" s="20">
        <f>(G11-G10)/G10</f>
        <v>8.4158415841584164E-2</v>
      </c>
      <c r="J11" s="19">
        <f t="shared" si="1"/>
        <v>55</v>
      </c>
    </row>
    <row r="12" spans="1:10" ht="15" customHeight="1" x14ac:dyDescent="0.25">
      <c r="A12" s="23">
        <v>10</v>
      </c>
      <c r="B12" s="23" t="str">
        <f>'Base de Datos'!A6</f>
        <v>Ministerio de Vivienda</v>
      </c>
      <c r="C12" s="22" t="str">
        <f>'Base de Datos'!B6</f>
        <v>Social</v>
      </c>
      <c r="D12" s="22" t="str">
        <f>'Base de Datos'!C6</f>
        <v>MIVIOT</v>
      </c>
      <c r="E12" s="21">
        <v>2022</v>
      </c>
      <c r="F12" s="24">
        <f>'Base de Datos'!D6</f>
        <v>340</v>
      </c>
      <c r="G12" s="24">
        <f>'Base de Datos'!E6</f>
        <v>298</v>
      </c>
      <c r="H12" s="25">
        <f t="shared" si="0"/>
        <v>0.87647058823529411</v>
      </c>
      <c r="I12" s="25" t="s">
        <v>81</v>
      </c>
      <c r="J12" s="24">
        <f t="shared" si="1"/>
        <v>42</v>
      </c>
    </row>
    <row r="13" spans="1:10" ht="15" customHeight="1" x14ac:dyDescent="0.25">
      <c r="A13" s="18">
        <v>11</v>
      </c>
      <c r="B13" s="18" t="str">
        <f>'Base de Datos'!A6</f>
        <v>Ministerio de Vivienda</v>
      </c>
      <c r="C13" s="17" t="str">
        <f>'Base de Datos'!B6</f>
        <v>Social</v>
      </c>
      <c r="D13" s="17" t="str">
        <f>'Base de Datos'!C6</f>
        <v>MIVIOT</v>
      </c>
      <c r="E13" s="16">
        <v>2023</v>
      </c>
      <c r="F13" s="19">
        <f>'Base de Datos'!G6</f>
        <v>370</v>
      </c>
      <c r="G13" s="19">
        <f>'Base de Datos'!H6</f>
        <v>335</v>
      </c>
      <c r="H13" s="20">
        <f t="shared" si="0"/>
        <v>0.90540540540540537</v>
      </c>
      <c r="I13" s="20">
        <f>(G13-G12)/G12</f>
        <v>0.12416107382550336</v>
      </c>
      <c r="J13" s="19">
        <f t="shared" si="1"/>
        <v>35</v>
      </c>
    </row>
    <row r="14" spans="1:10" ht="15" customHeight="1" x14ac:dyDescent="0.25">
      <c r="A14" s="23">
        <v>12</v>
      </c>
      <c r="B14" s="23" t="str">
        <f>'Base de Datos'!A6</f>
        <v>Ministerio de Vivienda</v>
      </c>
      <c r="C14" s="22" t="str">
        <f>'Base de Datos'!B6</f>
        <v>Social</v>
      </c>
      <c r="D14" s="22" t="str">
        <f>'Base de Datos'!C6</f>
        <v>MIVIOT</v>
      </c>
      <c r="E14" s="21">
        <v>2024</v>
      </c>
      <c r="F14" s="24">
        <f>'Base de Datos'!J6</f>
        <v>400</v>
      </c>
      <c r="G14" s="24">
        <f>'Base de Datos'!K6</f>
        <v>368</v>
      </c>
      <c r="H14" s="25">
        <f t="shared" si="0"/>
        <v>0.92</v>
      </c>
      <c r="I14" s="25">
        <f>(G14-G13)/G13</f>
        <v>9.8507462686567168E-2</v>
      </c>
      <c r="J14" s="24">
        <f t="shared" si="1"/>
        <v>32</v>
      </c>
    </row>
    <row r="15" spans="1:10" ht="15" customHeight="1" x14ac:dyDescent="0.25">
      <c r="A15" s="18">
        <v>13</v>
      </c>
      <c r="B15" s="18" t="str">
        <f>'Base de Datos'!A7</f>
        <v>MOP</v>
      </c>
      <c r="C15" s="17" t="str">
        <f>'Base de Datos'!B7</f>
        <v>Infraestructura</v>
      </c>
      <c r="D15" s="17" t="str">
        <f>'Base de Datos'!C7</f>
        <v>MOP</v>
      </c>
      <c r="E15" s="16">
        <v>2022</v>
      </c>
      <c r="F15" s="19">
        <f>'Base de Datos'!D7</f>
        <v>750</v>
      </c>
      <c r="G15" s="19">
        <f>'Base de Datos'!E7</f>
        <v>680</v>
      </c>
      <c r="H15" s="20">
        <f t="shared" si="0"/>
        <v>0.90666666666666662</v>
      </c>
      <c r="I15" s="20" t="s">
        <v>81</v>
      </c>
      <c r="J15" s="19">
        <f t="shared" si="1"/>
        <v>70</v>
      </c>
    </row>
    <row r="16" spans="1:10" ht="15" customHeight="1" x14ac:dyDescent="0.25">
      <c r="A16" s="23">
        <v>14</v>
      </c>
      <c r="B16" s="23" t="str">
        <f>'Base de Datos'!A7</f>
        <v>MOP</v>
      </c>
      <c r="C16" s="22" t="str">
        <f>'Base de Datos'!B7</f>
        <v>Infraestructura</v>
      </c>
      <c r="D16" s="22" t="str">
        <f>'Base de Datos'!C7</f>
        <v>MOP</v>
      </c>
      <c r="E16" s="21">
        <v>2023</v>
      </c>
      <c r="F16" s="24">
        <f>'Base de Datos'!G7</f>
        <v>820</v>
      </c>
      <c r="G16" s="24">
        <f>'Base de Datos'!H7</f>
        <v>760</v>
      </c>
      <c r="H16" s="25">
        <f t="shared" si="0"/>
        <v>0.92682926829268297</v>
      </c>
      <c r="I16" s="25">
        <f>(G16-G15)/G15</f>
        <v>0.11764705882352941</v>
      </c>
      <c r="J16" s="24">
        <f t="shared" si="1"/>
        <v>60</v>
      </c>
    </row>
    <row r="17" spans="1:10" ht="15" customHeight="1" x14ac:dyDescent="0.25">
      <c r="A17" s="18">
        <v>15</v>
      </c>
      <c r="B17" s="18" t="str">
        <f>'Base de Datos'!A7</f>
        <v>MOP</v>
      </c>
      <c r="C17" s="17" t="str">
        <f>'Base de Datos'!B7</f>
        <v>Infraestructura</v>
      </c>
      <c r="D17" s="17" t="str">
        <f>'Base de Datos'!C7</f>
        <v>MOP</v>
      </c>
      <c r="E17" s="16">
        <v>2024</v>
      </c>
      <c r="F17" s="19">
        <f>'Base de Datos'!J7</f>
        <v>910</v>
      </c>
      <c r="G17" s="19">
        <f>'Base de Datos'!K7</f>
        <v>855</v>
      </c>
      <c r="H17" s="20">
        <f t="shared" si="0"/>
        <v>0.93956043956043955</v>
      </c>
      <c r="I17" s="20">
        <f>(G17-G16)/G16</f>
        <v>0.125</v>
      </c>
      <c r="J17" s="19">
        <f t="shared" si="1"/>
        <v>55</v>
      </c>
    </row>
    <row r="18" spans="1:10" ht="15" customHeight="1" x14ac:dyDescent="0.25">
      <c r="A18" s="23">
        <v>16</v>
      </c>
      <c r="B18" s="23" t="str">
        <f>'Base de Datos'!A8</f>
        <v>Ministerio de Seguridad</v>
      </c>
      <c r="C18" s="22" t="str">
        <f>'Base de Datos'!B8</f>
        <v>Seguridad</v>
      </c>
      <c r="D18" s="22" t="str">
        <f>'Base de Datos'!C8</f>
        <v>MINSEG</v>
      </c>
      <c r="E18" s="21">
        <v>2022</v>
      </c>
      <c r="F18" s="24">
        <f>'Base de Datos'!D8</f>
        <v>520</v>
      </c>
      <c r="G18" s="24">
        <f>'Base de Datos'!E8</f>
        <v>498</v>
      </c>
      <c r="H18" s="25">
        <f t="shared" si="0"/>
        <v>0.95769230769230773</v>
      </c>
      <c r="I18" s="25" t="s">
        <v>81</v>
      </c>
      <c r="J18" s="24">
        <f t="shared" si="1"/>
        <v>22</v>
      </c>
    </row>
    <row r="19" spans="1:10" ht="15" customHeight="1" x14ac:dyDescent="0.25">
      <c r="A19" s="18">
        <v>17</v>
      </c>
      <c r="B19" s="18" t="str">
        <f>'Base de Datos'!A8</f>
        <v>Ministerio de Seguridad</v>
      </c>
      <c r="C19" s="17" t="str">
        <f>'Base de Datos'!B8</f>
        <v>Seguridad</v>
      </c>
      <c r="D19" s="17" t="str">
        <f>'Base de Datos'!C8</f>
        <v>MINSEG</v>
      </c>
      <c r="E19" s="16">
        <v>2023</v>
      </c>
      <c r="F19" s="19">
        <f>'Base de Datos'!G8</f>
        <v>560</v>
      </c>
      <c r="G19" s="19">
        <f>'Base de Datos'!H8</f>
        <v>541</v>
      </c>
      <c r="H19" s="20">
        <f t="shared" si="0"/>
        <v>0.96607142857142858</v>
      </c>
      <c r="I19" s="20">
        <f>(G19-G18)/G18</f>
        <v>8.6345381526104423E-2</v>
      </c>
      <c r="J19" s="19">
        <f t="shared" si="1"/>
        <v>19</v>
      </c>
    </row>
    <row r="20" spans="1:10" ht="15" customHeight="1" x14ac:dyDescent="0.25">
      <c r="A20" s="23">
        <v>18</v>
      </c>
      <c r="B20" s="23" t="str">
        <f>'Base de Datos'!A8</f>
        <v>Ministerio de Seguridad</v>
      </c>
      <c r="C20" s="22" t="str">
        <f>'Base de Datos'!B8</f>
        <v>Seguridad</v>
      </c>
      <c r="D20" s="22" t="str">
        <f>'Base de Datos'!C8</f>
        <v>MINSEG</v>
      </c>
      <c r="E20" s="21">
        <v>2024</v>
      </c>
      <c r="F20" s="24">
        <f>'Base de Datos'!J8</f>
        <v>590</v>
      </c>
      <c r="G20" s="24">
        <f>'Base de Datos'!K8</f>
        <v>570</v>
      </c>
      <c r="H20" s="25">
        <f t="shared" si="0"/>
        <v>0.96610169491525422</v>
      </c>
      <c r="I20" s="25">
        <f>(G20-G19)/G19</f>
        <v>5.3604436229205174E-2</v>
      </c>
      <c r="J20" s="24">
        <f t="shared" si="1"/>
        <v>20</v>
      </c>
    </row>
    <row r="21" spans="1:10" ht="15" customHeight="1" x14ac:dyDescent="0.25">
      <c r="A21" s="18">
        <v>19</v>
      </c>
      <c r="B21" s="18" t="str">
        <f>'Base de Datos'!A9</f>
        <v>Ministerio de Economía</v>
      </c>
      <c r="C21" s="17" t="str">
        <f>'Base de Datos'!B9</f>
        <v>Económico</v>
      </c>
      <c r="D21" s="17" t="str">
        <f>'Base de Datos'!C9</f>
        <v>MEF</v>
      </c>
      <c r="E21" s="16">
        <v>2022</v>
      </c>
      <c r="F21" s="19">
        <f>'Base de Datos'!D9</f>
        <v>420</v>
      </c>
      <c r="G21" s="19">
        <f>'Base de Datos'!E9</f>
        <v>400</v>
      </c>
      <c r="H21" s="20">
        <f t="shared" si="0"/>
        <v>0.95238095238095233</v>
      </c>
      <c r="I21" s="20" t="s">
        <v>81</v>
      </c>
      <c r="J21" s="19">
        <f t="shared" si="1"/>
        <v>20</v>
      </c>
    </row>
    <row r="22" spans="1:10" ht="15" customHeight="1" x14ac:dyDescent="0.25">
      <c r="A22" s="23">
        <v>20</v>
      </c>
      <c r="B22" s="23" t="str">
        <f>'Base de Datos'!A9</f>
        <v>Ministerio de Economía</v>
      </c>
      <c r="C22" s="22" t="str">
        <f>'Base de Datos'!B9</f>
        <v>Económico</v>
      </c>
      <c r="D22" s="22" t="str">
        <f>'Base de Datos'!C9</f>
        <v>MEF</v>
      </c>
      <c r="E22" s="21">
        <v>2023</v>
      </c>
      <c r="F22" s="24">
        <f>'Base de Datos'!G9</f>
        <v>450</v>
      </c>
      <c r="G22" s="24">
        <f>'Base de Datos'!H9</f>
        <v>438</v>
      </c>
      <c r="H22" s="25">
        <f t="shared" si="0"/>
        <v>0.97333333333333338</v>
      </c>
      <c r="I22" s="25">
        <f>(G22-G21)/G21</f>
        <v>9.5000000000000001E-2</v>
      </c>
      <c r="J22" s="24">
        <f t="shared" si="1"/>
        <v>12</v>
      </c>
    </row>
    <row r="23" spans="1:10" ht="15" customHeight="1" x14ac:dyDescent="0.25">
      <c r="A23" s="18">
        <v>21</v>
      </c>
      <c r="B23" s="18" t="str">
        <f>'Base de Datos'!A9</f>
        <v>Ministerio de Economía</v>
      </c>
      <c r="C23" s="17" t="str">
        <f>'Base de Datos'!B9</f>
        <v>Económico</v>
      </c>
      <c r="D23" s="17" t="str">
        <f>'Base de Datos'!C9</f>
        <v>MEF</v>
      </c>
      <c r="E23" s="16">
        <v>2024</v>
      </c>
      <c r="F23" s="19">
        <f>'Base de Datos'!J9</f>
        <v>490</v>
      </c>
      <c r="G23" s="19">
        <f>'Base de Datos'!K9</f>
        <v>475</v>
      </c>
      <c r="H23" s="20">
        <f t="shared" si="0"/>
        <v>0.96938775510204078</v>
      </c>
      <c r="I23" s="20">
        <f>(G23-G22)/G22</f>
        <v>8.4474885844748854E-2</v>
      </c>
      <c r="J23" s="19">
        <f t="shared" si="1"/>
        <v>15</v>
      </c>
    </row>
    <row r="24" spans="1:10" ht="15" customHeight="1" x14ac:dyDescent="0.25">
      <c r="A24" s="23">
        <v>22</v>
      </c>
      <c r="B24" s="23" t="str">
        <f>'Base de Datos'!A10</f>
        <v>Ministerio de Comercio</v>
      </c>
      <c r="C24" s="22" t="str">
        <f>'Base de Datos'!B10</f>
        <v>Económico</v>
      </c>
      <c r="D24" s="22" t="str">
        <f>'Base de Datos'!C10</f>
        <v>MICI</v>
      </c>
      <c r="E24" s="21">
        <v>2022</v>
      </c>
      <c r="F24" s="24">
        <f>'Base de Datos'!D10</f>
        <v>190</v>
      </c>
      <c r="G24" s="24">
        <f>'Base de Datos'!E10</f>
        <v>178</v>
      </c>
      <c r="H24" s="25">
        <f t="shared" si="0"/>
        <v>0.93684210526315792</v>
      </c>
      <c r="I24" s="25" t="s">
        <v>81</v>
      </c>
      <c r="J24" s="24">
        <f t="shared" si="1"/>
        <v>12</v>
      </c>
    </row>
    <row r="25" spans="1:10" ht="15" customHeight="1" x14ac:dyDescent="0.25">
      <c r="A25" s="18">
        <v>23</v>
      </c>
      <c r="B25" s="18" t="str">
        <f>'Base de Datos'!A10</f>
        <v>Ministerio de Comercio</v>
      </c>
      <c r="C25" s="17" t="str">
        <f>'Base de Datos'!B10</f>
        <v>Económico</v>
      </c>
      <c r="D25" s="17" t="str">
        <f>'Base de Datos'!C10</f>
        <v>MICI</v>
      </c>
      <c r="E25" s="16">
        <v>2023</v>
      </c>
      <c r="F25" s="19">
        <f>'Base de Datos'!G10</f>
        <v>210</v>
      </c>
      <c r="G25" s="19">
        <f>'Base de Datos'!H10</f>
        <v>198</v>
      </c>
      <c r="H25" s="20">
        <f t="shared" si="0"/>
        <v>0.94285714285714284</v>
      </c>
      <c r="I25" s="20">
        <f>(G25-G24)/G24</f>
        <v>0.11235955056179775</v>
      </c>
      <c r="J25" s="19">
        <f t="shared" si="1"/>
        <v>12</v>
      </c>
    </row>
    <row r="26" spans="1:10" ht="15" customHeight="1" x14ac:dyDescent="0.25">
      <c r="A26" s="23">
        <v>24</v>
      </c>
      <c r="B26" s="23" t="str">
        <f>'Base de Datos'!A10</f>
        <v>Ministerio de Comercio</v>
      </c>
      <c r="C26" s="22" t="str">
        <f>'Base de Datos'!B10</f>
        <v>Económico</v>
      </c>
      <c r="D26" s="22" t="str">
        <f>'Base de Datos'!C10</f>
        <v>MICI</v>
      </c>
      <c r="E26" s="21">
        <v>2024</v>
      </c>
      <c r="F26" s="24">
        <f>'Base de Datos'!J10</f>
        <v>230</v>
      </c>
      <c r="G26" s="24">
        <f>'Base de Datos'!K10</f>
        <v>219</v>
      </c>
      <c r="H26" s="25">
        <f t="shared" si="0"/>
        <v>0.95217391304347831</v>
      </c>
      <c r="I26" s="25">
        <f>(G26-G25)/G25</f>
        <v>0.10606060606060606</v>
      </c>
      <c r="J26" s="24">
        <f t="shared" si="1"/>
        <v>11</v>
      </c>
    </row>
    <row r="27" spans="1:10" ht="15" customHeight="1" x14ac:dyDescent="0.25">
      <c r="A27" s="18">
        <v>25</v>
      </c>
      <c r="B27" s="18" t="str">
        <f>'Base de Datos'!A11</f>
        <v>Ministerio de Agricultura</v>
      </c>
      <c r="C27" s="17" t="str">
        <f>'Base de Datos'!B11</f>
        <v>Económico</v>
      </c>
      <c r="D27" s="17" t="str">
        <f>'Base de Datos'!C11</f>
        <v>MIDA</v>
      </c>
      <c r="E27" s="16">
        <v>2022</v>
      </c>
      <c r="F27" s="19">
        <f>'Base de Datos'!D11</f>
        <v>280</v>
      </c>
      <c r="G27" s="19">
        <f>'Base de Datos'!E11</f>
        <v>245</v>
      </c>
      <c r="H27" s="20">
        <f t="shared" si="0"/>
        <v>0.875</v>
      </c>
      <c r="I27" s="20" t="s">
        <v>81</v>
      </c>
      <c r="J27" s="19">
        <f t="shared" si="1"/>
        <v>35</v>
      </c>
    </row>
    <row r="28" spans="1:10" ht="15" customHeight="1" x14ac:dyDescent="0.25">
      <c r="A28" s="23">
        <v>26</v>
      </c>
      <c r="B28" s="23" t="str">
        <f>'Base de Datos'!A11</f>
        <v>Ministerio de Agricultura</v>
      </c>
      <c r="C28" s="22" t="str">
        <f>'Base de Datos'!B11</f>
        <v>Económico</v>
      </c>
      <c r="D28" s="22" t="str">
        <f>'Base de Datos'!C11</f>
        <v>MIDA</v>
      </c>
      <c r="E28" s="21">
        <v>2023</v>
      </c>
      <c r="F28" s="24">
        <f>'Base de Datos'!G11</f>
        <v>300</v>
      </c>
      <c r="G28" s="24">
        <f>'Base de Datos'!H11</f>
        <v>272</v>
      </c>
      <c r="H28" s="25">
        <f t="shared" si="0"/>
        <v>0.90666666666666662</v>
      </c>
      <c r="I28" s="25">
        <f>(G28-G27)/G27</f>
        <v>0.11020408163265306</v>
      </c>
      <c r="J28" s="24">
        <f t="shared" si="1"/>
        <v>28</v>
      </c>
    </row>
    <row r="29" spans="1:10" ht="15" customHeight="1" x14ac:dyDescent="0.25">
      <c r="A29" s="18">
        <v>27</v>
      </c>
      <c r="B29" s="18" t="str">
        <f>'Base de Datos'!A11</f>
        <v>Ministerio de Agricultura</v>
      </c>
      <c r="C29" s="17" t="str">
        <f>'Base de Datos'!B11</f>
        <v>Económico</v>
      </c>
      <c r="D29" s="17" t="str">
        <f>'Base de Datos'!C11</f>
        <v>MIDA</v>
      </c>
      <c r="E29" s="16">
        <v>2024</v>
      </c>
      <c r="F29" s="19">
        <f>'Base de Datos'!J11</f>
        <v>320</v>
      </c>
      <c r="G29" s="19">
        <f>'Base de Datos'!K11</f>
        <v>296</v>
      </c>
      <c r="H29" s="20">
        <f t="shared" si="0"/>
        <v>0.92500000000000004</v>
      </c>
      <c r="I29" s="20">
        <f>(G29-G28)/G28</f>
        <v>8.8235294117647065E-2</v>
      </c>
      <c r="J29" s="19">
        <f t="shared" si="1"/>
        <v>24</v>
      </c>
    </row>
    <row r="30" spans="1:10" ht="15" customHeight="1" x14ac:dyDescent="0.25">
      <c r="A30" s="23">
        <v>28</v>
      </c>
      <c r="B30" s="23" t="str">
        <f>'Base de Datos'!A12</f>
        <v>Ministerio de Ambiente</v>
      </c>
      <c r="C30" s="22" t="str">
        <f>'Base de Datos'!B12</f>
        <v>Económico</v>
      </c>
      <c r="D30" s="22" t="str">
        <f>'Base de Datos'!C12</f>
        <v>MiAMBIENTE</v>
      </c>
      <c r="E30" s="21">
        <v>2022</v>
      </c>
      <c r="F30" s="24">
        <f>'Base de Datos'!D12</f>
        <v>120</v>
      </c>
      <c r="G30" s="24">
        <f>'Base de Datos'!E12</f>
        <v>108</v>
      </c>
      <c r="H30" s="25">
        <f t="shared" si="0"/>
        <v>0.9</v>
      </c>
      <c r="I30" s="25" t="s">
        <v>81</v>
      </c>
      <c r="J30" s="24">
        <f t="shared" si="1"/>
        <v>12</v>
      </c>
    </row>
    <row r="31" spans="1:10" ht="15" customHeight="1" x14ac:dyDescent="0.25">
      <c r="A31" s="18">
        <v>29</v>
      </c>
      <c r="B31" s="18" t="str">
        <f>'Base de Datos'!A12</f>
        <v>Ministerio de Ambiente</v>
      </c>
      <c r="C31" s="17" t="str">
        <f>'Base de Datos'!B12</f>
        <v>Económico</v>
      </c>
      <c r="D31" s="17" t="str">
        <f>'Base de Datos'!C12</f>
        <v>MiAMBIENTE</v>
      </c>
      <c r="E31" s="16">
        <v>2023</v>
      </c>
      <c r="F31" s="19">
        <f>'Base de Datos'!G12</f>
        <v>135</v>
      </c>
      <c r="G31" s="19">
        <f>'Base de Datos'!H12</f>
        <v>122</v>
      </c>
      <c r="H31" s="20">
        <f t="shared" si="0"/>
        <v>0.90370370370370368</v>
      </c>
      <c r="I31" s="20">
        <f>(G31-G30)/G30</f>
        <v>0.12962962962962962</v>
      </c>
      <c r="J31" s="19">
        <f t="shared" si="1"/>
        <v>13</v>
      </c>
    </row>
    <row r="32" spans="1:10" ht="15" customHeight="1" x14ac:dyDescent="0.25">
      <c r="A32" s="23">
        <v>30</v>
      </c>
      <c r="B32" s="23" t="str">
        <f>'Base de Datos'!A12</f>
        <v>Ministerio de Ambiente</v>
      </c>
      <c r="C32" s="22" t="str">
        <f>'Base de Datos'!B12</f>
        <v>Económico</v>
      </c>
      <c r="D32" s="22" t="str">
        <f>'Base de Datos'!C12</f>
        <v>MiAMBIENTE</v>
      </c>
      <c r="E32" s="21">
        <v>2024</v>
      </c>
      <c r="F32" s="24">
        <f>'Base de Datos'!J12</f>
        <v>148</v>
      </c>
      <c r="G32" s="24">
        <f>'Base de Datos'!K12</f>
        <v>135</v>
      </c>
      <c r="H32" s="25">
        <f t="shared" si="0"/>
        <v>0.91216216216216217</v>
      </c>
      <c r="I32" s="25">
        <f>(G32-G31)/G31</f>
        <v>0.10655737704918032</v>
      </c>
      <c r="J32" s="24">
        <f t="shared" si="1"/>
        <v>13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topLeftCell="A10" zoomScaleNormal="100" workbookViewId="0">
      <selection activeCell="I26" sqref="I26"/>
    </sheetView>
  </sheetViews>
  <sheetFormatPr baseColWidth="10" defaultColWidth="8.7109375" defaultRowHeight="15" x14ac:dyDescent="0.25"/>
  <cols>
    <col min="1" max="1" width="5" customWidth="1"/>
    <col min="2" max="2" width="60" customWidth="1"/>
  </cols>
  <sheetData>
    <row r="1" spans="1:8" ht="30" customHeight="1" x14ac:dyDescent="0.25">
      <c r="A1" s="12" t="s">
        <v>82</v>
      </c>
      <c r="B1" s="12"/>
      <c r="C1" s="12"/>
      <c r="D1" s="12"/>
      <c r="E1" s="12"/>
      <c r="F1" s="12"/>
      <c r="G1" s="12"/>
      <c r="H1" s="12"/>
    </row>
    <row r="3" spans="1:8" ht="15" customHeight="1" x14ac:dyDescent="0.25">
      <c r="A3" s="40"/>
      <c r="B3" s="41"/>
    </row>
    <row r="4" spans="1:8" ht="19.5" customHeight="1" x14ac:dyDescent="0.25">
      <c r="A4" s="40" t="s">
        <v>83</v>
      </c>
      <c r="B4" s="42" t="s">
        <v>84</v>
      </c>
    </row>
    <row r="5" spans="1:8" ht="15" customHeight="1" x14ac:dyDescent="0.25">
      <c r="A5" s="40"/>
      <c r="B5" s="41" t="s">
        <v>85</v>
      </c>
    </row>
    <row r="6" spans="1:8" ht="15" customHeight="1" x14ac:dyDescent="0.25">
      <c r="A6" s="40"/>
      <c r="B6" s="41" t="s">
        <v>86</v>
      </c>
    </row>
    <row r="7" spans="1:8" ht="15" customHeight="1" x14ac:dyDescent="0.25">
      <c r="A7" s="40"/>
      <c r="B7" s="41" t="s">
        <v>87</v>
      </c>
    </row>
    <row r="8" spans="1:8" ht="15" customHeight="1" x14ac:dyDescent="0.25">
      <c r="A8" s="40"/>
      <c r="B8" s="41"/>
    </row>
    <row r="9" spans="1:8" ht="19.5" customHeight="1" x14ac:dyDescent="0.25">
      <c r="A9" s="40" t="s">
        <v>88</v>
      </c>
      <c r="B9" s="42" t="s">
        <v>89</v>
      </c>
    </row>
    <row r="10" spans="1:8" ht="15" customHeight="1" x14ac:dyDescent="0.25">
      <c r="A10" s="40"/>
      <c r="B10" s="41" t="s">
        <v>90</v>
      </c>
    </row>
    <row r="11" spans="1:8" ht="15" customHeight="1" x14ac:dyDescent="0.25">
      <c r="A11" s="40"/>
      <c r="B11" s="41" t="s">
        <v>91</v>
      </c>
    </row>
    <row r="12" spans="1:8" ht="15" customHeight="1" x14ac:dyDescent="0.25">
      <c r="A12" s="40"/>
      <c r="B12" s="41"/>
    </row>
    <row r="13" spans="1:8" ht="19.5" customHeight="1" x14ac:dyDescent="0.25">
      <c r="A13" s="40" t="s">
        <v>92</v>
      </c>
      <c r="B13" s="42" t="s">
        <v>93</v>
      </c>
    </row>
    <row r="14" spans="1:8" ht="15" customHeight="1" x14ac:dyDescent="0.25">
      <c r="A14" s="40"/>
      <c r="B14" s="41" t="s">
        <v>94</v>
      </c>
    </row>
    <row r="15" spans="1:8" ht="15" customHeight="1" x14ac:dyDescent="0.25">
      <c r="A15" s="40"/>
      <c r="B15" s="41" t="s">
        <v>95</v>
      </c>
    </row>
    <row r="16" spans="1:8" ht="15" customHeight="1" x14ac:dyDescent="0.25">
      <c r="A16" s="40"/>
      <c r="B16" s="41"/>
    </row>
    <row r="17" spans="1:2" ht="19.5" customHeight="1" x14ac:dyDescent="0.25">
      <c r="A17" s="40" t="s">
        <v>96</v>
      </c>
      <c r="B17" s="42" t="s">
        <v>97</v>
      </c>
    </row>
    <row r="18" spans="1:2" ht="15" customHeight="1" x14ac:dyDescent="0.25">
      <c r="A18" s="40"/>
      <c r="B18" s="41" t="s">
        <v>98</v>
      </c>
    </row>
    <row r="19" spans="1:2" ht="15" customHeight="1" x14ac:dyDescent="0.25">
      <c r="A19" s="40"/>
      <c r="B19" s="41" t="s">
        <v>99</v>
      </c>
    </row>
    <row r="20" spans="1:2" ht="15" customHeight="1" x14ac:dyDescent="0.25">
      <c r="A20" s="40"/>
      <c r="B20" s="41" t="s">
        <v>100</v>
      </c>
    </row>
    <row r="21" spans="1:2" ht="15" customHeight="1" x14ac:dyDescent="0.25">
      <c r="A21" s="40"/>
      <c r="B21" s="41"/>
    </row>
    <row r="22" spans="1:2" ht="19.5" customHeight="1" x14ac:dyDescent="0.25">
      <c r="A22" s="40" t="s">
        <v>101</v>
      </c>
      <c r="B22" s="42" t="s">
        <v>102</v>
      </c>
    </row>
    <row r="23" spans="1:2" ht="15" customHeight="1" x14ac:dyDescent="0.25">
      <c r="A23" s="40"/>
      <c r="B23" s="41" t="s">
        <v>103</v>
      </c>
    </row>
    <row r="24" spans="1:2" ht="15" customHeight="1" x14ac:dyDescent="0.25">
      <c r="A24" s="40"/>
      <c r="B24" s="41" t="s">
        <v>104</v>
      </c>
    </row>
    <row r="25" spans="1:2" ht="15" customHeight="1" x14ac:dyDescent="0.25">
      <c r="A25" s="40"/>
      <c r="B25" s="41" t="s">
        <v>105</v>
      </c>
    </row>
    <row r="26" spans="1:2" ht="15" customHeight="1" x14ac:dyDescent="0.25">
      <c r="A26" s="40"/>
      <c r="B26" s="41" t="s">
        <v>106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de Datos</vt:lpstr>
      <vt:lpstr>Tabla Dinámica</vt:lpstr>
      <vt:lpstr>Dashboard KPIs</vt:lpstr>
      <vt:lpstr>Export_PowerBI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Carlos Gadea Brenes</cp:lastModifiedBy>
  <cp:revision>0</cp:revision>
  <dcterms:created xsi:type="dcterms:W3CDTF">2026-04-13T13:51:48Z</dcterms:created>
  <dcterms:modified xsi:type="dcterms:W3CDTF">2026-04-15T21:02:09Z</dcterms:modified>
  <dc:language>en-US</dc:language>
</cp:coreProperties>
</file>